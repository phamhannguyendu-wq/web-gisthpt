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esktop\webgis_thpt\"/>
    </mc:Choice>
  </mc:AlternateContent>
  <xr:revisionPtr revIDLastSave="0" documentId="13_ncr:1_{588CF2CD-BFEE-45F2-A65C-AD07BB5652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SDL_Truong" sheetId="1" r:id="rId1"/>
    <sheet name="Ho_So_Hoc_Sin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8" i="1" l="1"/>
  <c r="W48" i="1"/>
  <c r="V48" i="1"/>
  <c r="U48" i="1"/>
  <c r="T48" i="1"/>
  <c r="S48" i="1"/>
  <c r="R48" i="1"/>
  <c r="X48" i="1" s="1"/>
  <c r="Y47" i="1"/>
  <c r="W47" i="1"/>
  <c r="V47" i="1"/>
  <c r="U47" i="1"/>
  <c r="T47" i="1"/>
  <c r="S47" i="1"/>
  <c r="R47" i="1"/>
  <c r="X47" i="1" s="1"/>
  <c r="Y46" i="1"/>
  <c r="W46" i="1"/>
  <c r="V46" i="1"/>
  <c r="U46" i="1"/>
  <c r="T46" i="1"/>
  <c r="S46" i="1"/>
  <c r="Z46" i="1" s="1"/>
  <c r="AA46" i="1" s="1"/>
  <c r="R46" i="1"/>
  <c r="X46" i="1" s="1"/>
  <c r="Y45" i="1"/>
  <c r="W45" i="1"/>
  <c r="V45" i="1"/>
  <c r="U45" i="1"/>
  <c r="T45" i="1"/>
  <c r="S45" i="1"/>
  <c r="R45" i="1"/>
  <c r="X45" i="1" s="1"/>
  <c r="Y44" i="1"/>
  <c r="W44" i="1"/>
  <c r="V44" i="1"/>
  <c r="U44" i="1"/>
  <c r="T44" i="1"/>
  <c r="S44" i="1"/>
  <c r="R44" i="1"/>
  <c r="X44" i="1" s="1"/>
  <c r="Y43" i="1"/>
  <c r="W43" i="1"/>
  <c r="V43" i="1"/>
  <c r="U43" i="1"/>
  <c r="T43" i="1"/>
  <c r="S43" i="1"/>
  <c r="R43" i="1"/>
  <c r="X43" i="1" s="1"/>
  <c r="Y42" i="1"/>
  <c r="W42" i="1"/>
  <c r="V42" i="1"/>
  <c r="U42" i="1"/>
  <c r="T42" i="1"/>
  <c r="S42" i="1"/>
  <c r="R42" i="1"/>
  <c r="X42" i="1" s="1"/>
  <c r="Y41" i="1"/>
  <c r="W41" i="1"/>
  <c r="V41" i="1"/>
  <c r="U41" i="1"/>
  <c r="T41" i="1"/>
  <c r="S41" i="1"/>
  <c r="R41" i="1"/>
  <c r="X41" i="1" s="1"/>
  <c r="Y40" i="1"/>
  <c r="W40" i="1"/>
  <c r="V40" i="1"/>
  <c r="U40" i="1"/>
  <c r="T40" i="1"/>
  <c r="S40" i="1"/>
  <c r="R40" i="1"/>
  <c r="X40" i="1" s="1"/>
  <c r="Y39" i="1"/>
  <c r="W39" i="1"/>
  <c r="V39" i="1"/>
  <c r="U39" i="1"/>
  <c r="T39" i="1"/>
  <c r="S39" i="1"/>
  <c r="R39" i="1"/>
  <c r="X39" i="1" s="1"/>
  <c r="Y38" i="1"/>
  <c r="X38" i="1"/>
  <c r="W38" i="1"/>
  <c r="V38" i="1"/>
  <c r="U38" i="1"/>
  <c r="T38" i="1"/>
  <c r="S38" i="1"/>
  <c r="R38" i="1"/>
  <c r="Y37" i="1"/>
  <c r="W37" i="1"/>
  <c r="V37" i="1"/>
  <c r="U37" i="1"/>
  <c r="T37" i="1"/>
  <c r="S37" i="1"/>
  <c r="R37" i="1"/>
  <c r="X37" i="1" s="1"/>
  <c r="Y36" i="1"/>
  <c r="W36" i="1"/>
  <c r="V36" i="1"/>
  <c r="U36" i="1"/>
  <c r="T36" i="1"/>
  <c r="S36" i="1"/>
  <c r="R36" i="1"/>
  <c r="X36" i="1" s="1"/>
  <c r="Y35" i="1"/>
  <c r="W35" i="1"/>
  <c r="V35" i="1"/>
  <c r="U35" i="1"/>
  <c r="T35" i="1"/>
  <c r="S35" i="1"/>
  <c r="R35" i="1"/>
  <c r="X35" i="1" s="1"/>
  <c r="Y34" i="1"/>
  <c r="W34" i="1"/>
  <c r="V34" i="1"/>
  <c r="U34" i="1"/>
  <c r="T34" i="1"/>
  <c r="S34" i="1"/>
  <c r="R34" i="1"/>
  <c r="X34" i="1" s="1"/>
  <c r="Y33" i="1"/>
  <c r="W33" i="1"/>
  <c r="V33" i="1"/>
  <c r="U33" i="1"/>
  <c r="T33" i="1"/>
  <c r="S33" i="1"/>
  <c r="R33" i="1"/>
  <c r="X33" i="1" s="1"/>
  <c r="Y32" i="1"/>
  <c r="W32" i="1"/>
  <c r="V32" i="1"/>
  <c r="U32" i="1"/>
  <c r="T32" i="1"/>
  <c r="S32" i="1"/>
  <c r="R32" i="1"/>
  <c r="X32" i="1" s="1"/>
  <c r="Y31" i="1"/>
  <c r="W31" i="1"/>
  <c r="V31" i="1"/>
  <c r="U31" i="1"/>
  <c r="T31" i="1"/>
  <c r="S31" i="1"/>
  <c r="R31" i="1"/>
  <c r="X31" i="1" s="1"/>
  <c r="Y30" i="1"/>
  <c r="W30" i="1"/>
  <c r="V30" i="1"/>
  <c r="U30" i="1"/>
  <c r="T30" i="1"/>
  <c r="S30" i="1"/>
  <c r="R30" i="1"/>
  <c r="X30" i="1" s="1"/>
  <c r="Y29" i="1"/>
  <c r="W29" i="1"/>
  <c r="V29" i="1"/>
  <c r="U29" i="1"/>
  <c r="T29" i="1"/>
  <c r="S29" i="1"/>
  <c r="R29" i="1"/>
  <c r="X29" i="1" s="1"/>
  <c r="Y28" i="1"/>
  <c r="W28" i="1"/>
  <c r="V28" i="1"/>
  <c r="U28" i="1"/>
  <c r="T28" i="1"/>
  <c r="S28" i="1"/>
  <c r="R28" i="1"/>
  <c r="X28" i="1" s="1"/>
  <c r="Y27" i="1"/>
  <c r="W27" i="1"/>
  <c r="V27" i="1"/>
  <c r="U27" i="1"/>
  <c r="T27" i="1"/>
  <c r="S27" i="1"/>
  <c r="R27" i="1"/>
  <c r="X27" i="1" s="1"/>
  <c r="Y26" i="1"/>
  <c r="W26" i="1"/>
  <c r="V26" i="1"/>
  <c r="U26" i="1"/>
  <c r="T26" i="1"/>
  <c r="S26" i="1"/>
  <c r="R26" i="1"/>
  <c r="X26" i="1" s="1"/>
  <c r="Y25" i="1"/>
  <c r="W25" i="1"/>
  <c r="V25" i="1"/>
  <c r="U25" i="1"/>
  <c r="T25" i="1"/>
  <c r="S25" i="1"/>
  <c r="R25" i="1"/>
  <c r="X25" i="1" s="1"/>
  <c r="Y24" i="1"/>
  <c r="W24" i="1"/>
  <c r="V24" i="1"/>
  <c r="U24" i="1"/>
  <c r="T24" i="1"/>
  <c r="S24" i="1"/>
  <c r="R24" i="1"/>
  <c r="X24" i="1" s="1"/>
  <c r="Y23" i="1"/>
  <c r="W23" i="1"/>
  <c r="V23" i="1"/>
  <c r="U23" i="1"/>
  <c r="T23" i="1"/>
  <c r="S23" i="1"/>
  <c r="R23" i="1"/>
  <c r="X23" i="1" s="1"/>
  <c r="Y22" i="1"/>
  <c r="W22" i="1"/>
  <c r="V22" i="1"/>
  <c r="U22" i="1"/>
  <c r="T22" i="1"/>
  <c r="S22" i="1"/>
  <c r="R22" i="1"/>
  <c r="X22" i="1" s="1"/>
  <c r="Y21" i="1"/>
  <c r="W21" i="1"/>
  <c r="V21" i="1"/>
  <c r="U21" i="1"/>
  <c r="T21" i="1"/>
  <c r="S21" i="1"/>
  <c r="R21" i="1"/>
  <c r="X21" i="1" s="1"/>
  <c r="Y20" i="1"/>
  <c r="W20" i="1"/>
  <c r="V20" i="1"/>
  <c r="U20" i="1"/>
  <c r="T20" i="1"/>
  <c r="S20" i="1"/>
  <c r="R20" i="1"/>
  <c r="X20" i="1" s="1"/>
  <c r="Y19" i="1"/>
  <c r="W19" i="1"/>
  <c r="V19" i="1"/>
  <c r="U19" i="1"/>
  <c r="T19" i="1"/>
  <c r="S19" i="1"/>
  <c r="R19" i="1"/>
  <c r="X19" i="1" s="1"/>
  <c r="Y18" i="1"/>
  <c r="W18" i="1"/>
  <c r="V18" i="1"/>
  <c r="U18" i="1"/>
  <c r="T18" i="1"/>
  <c r="S18" i="1"/>
  <c r="R18" i="1"/>
  <c r="X18" i="1" s="1"/>
  <c r="Y17" i="1"/>
  <c r="W17" i="1"/>
  <c r="V17" i="1"/>
  <c r="U17" i="1"/>
  <c r="T17" i="1"/>
  <c r="S17" i="1"/>
  <c r="R17" i="1"/>
  <c r="X17" i="1" s="1"/>
  <c r="Y16" i="1"/>
  <c r="W16" i="1"/>
  <c r="V16" i="1"/>
  <c r="U16" i="1"/>
  <c r="T16" i="1"/>
  <c r="S16" i="1"/>
  <c r="R16" i="1"/>
  <c r="X16" i="1" s="1"/>
  <c r="Y15" i="1"/>
  <c r="W15" i="1"/>
  <c r="V15" i="1"/>
  <c r="U15" i="1"/>
  <c r="T15" i="1"/>
  <c r="S15" i="1"/>
  <c r="R15" i="1"/>
  <c r="X15" i="1" s="1"/>
  <c r="Y14" i="1"/>
  <c r="W14" i="1"/>
  <c r="V14" i="1"/>
  <c r="U14" i="1"/>
  <c r="T14" i="1"/>
  <c r="S14" i="1"/>
  <c r="R14" i="1"/>
  <c r="X14" i="1" s="1"/>
  <c r="Y13" i="1"/>
  <c r="W13" i="1"/>
  <c r="V13" i="1"/>
  <c r="U13" i="1"/>
  <c r="T13" i="1"/>
  <c r="S13" i="1"/>
  <c r="R13" i="1"/>
  <c r="X13" i="1" s="1"/>
  <c r="Y12" i="1"/>
  <c r="W12" i="1"/>
  <c r="V12" i="1"/>
  <c r="U12" i="1"/>
  <c r="T12" i="1"/>
  <c r="S12" i="1"/>
  <c r="R12" i="1"/>
  <c r="X12" i="1" s="1"/>
  <c r="Y11" i="1"/>
  <c r="W11" i="1"/>
  <c r="V11" i="1"/>
  <c r="U11" i="1"/>
  <c r="T11" i="1"/>
  <c r="S11" i="1"/>
  <c r="R11" i="1"/>
  <c r="X11" i="1" s="1"/>
  <c r="Y10" i="1"/>
  <c r="W10" i="1"/>
  <c r="V10" i="1"/>
  <c r="U10" i="1"/>
  <c r="T10" i="1"/>
  <c r="S10" i="1"/>
  <c r="R10" i="1"/>
  <c r="X10" i="1" s="1"/>
  <c r="Y9" i="1"/>
  <c r="W9" i="1"/>
  <c r="V9" i="1"/>
  <c r="U9" i="1"/>
  <c r="T9" i="1"/>
  <c r="S9" i="1"/>
  <c r="R9" i="1"/>
  <c r="X9" i="1" s="1"/>
  <c r="Y8" i="1"/>
  <c r="W8" i="1"/>
  <c r="V8" i="1"/>
  <c r="U8" i="1"/>
  <c r="T8" i="1"/>
  <c r="S8" i="1"/>
  <c r="R8" i="1"/>
  <c r="X8" i="1" s="1"/>
  <c r="Y7" i="1"/>
  <c r="W7" i="1"/>
  <c r="V7" i="1"/>
  <c r="U7" i="1"/>
  <c r="T7" i="1"/>
  <c r="S7" i="1"/>
  <c r="R7" i="1"/>
  <c r="X7" i="1" s="1"/>
  <c r="Y6" i="1"/>
  <c r="W6" i="1"/>
  <c r="V6" i="1"/>
  <c r="U6" i="1"/>
  <c r="T6" i="1"/>
  <c r="S6" i="1"/>
  <c r="R6" i="1"/>
  <c r="X6" i="1" s="1"/>
  <c r="Y5" i="1"/>
  <c r="W5" i="1"/>
  <c r="V5" i="1"/>
  <c r="U5" i="1"/>
  <c r="T5" i="1"/>
  <c r="S5" i="1"/>
  <c r="R5" i="1"/>
  <c r="X5" i="1" s="1"/>
  <c r="Y4" i="1"/>
  <c r="W4" i="1"/>
  <c r="V4" i="1"/>
  <c r="U4" i="1"/>
  <c r="T4" i="1"/>
  <c r="S4" i="1"/>
  <c r="R4" i="1"/>
  <c r="X4" i="1" s="1"/>
  <c r="Y3" i="1"/>
  <c r="W3" i="1"/>
  <c r="V3" i="1"/>
  <c r="U3" i="1"/>
  <c r="T3" i="1"/>
  <c r="S3" i="1"/>
  <c r="R3" i="1"/>
  <c r="X3" i="1" s="1"/>
  <c r="Z39" i="1" l="1"/>
  <c r="AA39" i="1" s="1"/>
  <c r="Z43" i="1"/>
  <c r="AA43" i="1" s="1"/>
  <c r="Z7" i="1"/>
  <c r="AA7" i="1" s="1"/>
  <c r="Z11" i="1"/>
  <c r="AA11" i="1" s="1"/>
  <c r="Z23" i="1"/>
  <c r="AA23" i="1" s="1"/>
  <c r="Z27" i="1"/>
  <c r="AA27" i="1" s="1"/>
  <c r="Z14" i="1"/>
  <c r="AA14" i="1" s="1"/>
  <c r="Z30" i="1"/>
  <c r="AA30" i="1" s="1"/>
  <c r="Z6" i="1"/>
  <c r="AA6" i="1" s="1"/>
  <c r="Z15" i="1"/>
  <c r="AA15" i="1" s="1"/>
  <c r="Z22" i="1"/>
  <c r="AA22" i="1" s="1"/>
  <c r="Z31" i="1"/>
  <c r="AA31" i="1" s="1"/>
  <c r="Z38" i="1"/>
  <c r="AA38" i="1" s="1"/>
  <c r="Z3" i="1"/>
  <c r="AA3" i="1" s="1"/>
  <c r="Z19" i="1"/>
  <c r="AA19" i="1" s="1"/>
  <c r="Z35" i="1"/>
  <c r="AA35" i="1" s="1"/>
  <c r="Z4" i="1"/>
  <c r="AA4" i="1" s="1"/>
  <c r="Z9" i="1"/>
  <c r="AA9" i="1" s="1"/>
  <c r="Z12" i="1"/>
  <c r="AA12" i="1" s="1"/>
  <c r="Z17" i="1"/>
  <c r="AA17" i="1" s="1"/>
  <c r="Z20" i="1"/>
  <c r="AA20" i="1" s="1"/>
  <c r="Z25" i="1"/>
  <c r="AA25" i="1" s="1"/>
  <c r="Z28" i="1"/>
  <c r="AA28" i="1" s="1"/>
  <c r="Z33" i="1"/>
  <c r="AA33" i="1" s="1"/>
  <c r="Z36" i="1"/>
  <c r="AA36" i="1" s="1"/>
  <c r="Z41" i="1"/>
  <c r="AA41" i="1" s="1"/>
  <c r="Z44" i="1"/>
  <c r="AA44" i="1" s="1"/>
  <c r="Z10" i="1"/>
  <c r="AA10" i="1" s="1"/>
  <c r="Z26" i="1"/>
  <c r="AA26" i="1" s="1"/>
  <c r="Z34" i="1"/>
  <c r="AA34" i="1" s="1"/>
  <c r="Z42" i="1"/>
  <c r="AA42" i="1" s="1"/>
  <c r="Z18" i="1"/>
  <c r="AA18" i="1" s="1"/>
  <c r="Z8" i="1"/>
  <c r="AA8" i="1" s="1"/>
  <c r="Z16" i="1"/>
  <c r="AA16" i="1" s="1"/>
  <c r="Z24" i="1"/>
  <c r="AA24" i="1" s="1"/>
  <c r="Z32" i="1"/>
  <c r="AA32" i="1" s="1"/>
  <c r="Z40" i="1"/>
  <c r="AA40" i="1" s="1"/>
  <c r="Z48" i="1"/>
  <c r="AA48" i="1" s="1"/>
  <c r="Z45" i="1"/>
  <c r="AA45" i="1" s="1"/>
  <c r="Z5" i="1"/>
  <c r="AA5" i="1" s="1"/>
  <c r="Z13" i="1"/>
  <c r="AA13" i="1" s="1"/>
  <c r="Z21" i="1"/>
  <c r="AA21" i="1" s="1"/>
  <c r="Z29" i="1"/>
  <c r="AA29" i="1" s="1"/>
  <c r="Z37" i="1"/>
  <c r="AA37" i="1" s="1"/>
  <c r="Z47" i="1"/>
  <c r="AA47" i="1" s="1"/>
  <c r="E14" i="2" l="1"/>
  <c r="C13" i="2"/>
  <c r="B12" i="2"/>
  <c r="D14" i="2"/>
  <c r="C14" i="2"/>
  <c r="B14" i="2"/>
  <c r="D12" i="2"/>
  <c r="E13" i="2"/>
  <c r="B13" i="2"/>
  <c r="E12" i="2"/>
  <c r="C12" i="2"/>
  <c r="D13" i="2"/>
</calcChain>
</file>

<file path=xl/sharedStrings.xml><?xml version="1.0" encoding="utf-8"?>
<sst xmlns="http://schemas.openxmlformats.org/spreadsheetml/2006/main" count="489" uniqueCount="272">
  <si>
    <t>CƠ SỞ DỮ LIỆU THUỘC TÍNH VÀ THUẬT TOÁN ĐÁNH GIÁ 7 TIÊU CHÍ AHP - CÁ NHÂN HÓA WEB-GIS TRƯỜNG THPT</t>
  </si>
  <si>
    <t>STT</t>
  </si>
  <si>
    <t>Ten_Truong</t>
  </si>
  <si>
    <t>Dia_Chi</t>
  </si>
  <si>
    <t>Loai_Hinh</t>
  </si>
  <si>
    <t>CT_GDPT_2018</t>
  </si>
  <si>
    <t>Latitude</t>
  </si>
  <si>
    <t>Longitude</t>
  </si>
  <si>
    <t>Diem_Chuan_2026</t>
  </si>
  <si>
    <t>Diem_Chuan_TB_3Nam</t>
  </si>
  <si>
    <t>Chi_Tieu</t>
  </si>
  <si>
    <t>Ty_Le_Choi</t>
  </si>
  <si>
    <t>Hoc_2_Buoi</t>
  </si>
  <si>
    <t>Ban_Tru</t>
  </si>
  <si>
    <t>Hoc_Phi_Thang</t>
  </si>
  <si>
    <t>Tuyen_Xe_Buyt</t>
  </si>
  <si>
    <t>CLB_Noi_Bat</t>
  </si>
  <si>
    <t>Website_Truong</t>
  </si>
  <si>
    <t>Khoang_Cach_km</t>
  </si>
  <si>
    <t>c1_Chat_Luong</t>
  </si>
  <si>
    <t>c2_Moi_Truong_CSVC</t>
  </si>
  <si>
    <t>c3_Dinh_Huong_Mon</t>
  </si>
  <si>
    <t>c4_Kha_Nang_Trung_Tuyen</t>
  </si>
  <si>
    <t>c5_Tai_Chinh</t>
  </si>
  <si>
    <t>c6_Vi_Tri_Di_Chuyen</t>
  </si>
  <si>
    <t>c7_Mo_Hinh_Ban_Tru</t>
  </si>
  <si>
    <t>Diem_Tuong_Thich_S</t>
  </si>
  <si>
    <t>Xep_Hang</t>
  </si>
  <si>
    <t>THPT Nguyễn Du</t>
  </si>
  <si>
    <t>XX1 Đường Đồng Nai, Phường Hòa Hưng, Tp. HCM</t>
  </si>
  <si>
    <t>Công lập</t>
  </si>
  <si>
    <t>Có</t>
  </si>
  <si>
    <t>38, 59, 69, 103</t>
  </si>
  <si>
    <t>Truyền thông, Nhảy hiện đại (The Castillo), Âm nhạc (The...</t>
  </si>
  <si>
    <t>https://thptnguyendu.hcm.edu.vn/</t>
  </si>
  <si>
    <t>THCS-THPT Diên Hồng</t>
  </si>
  <si>
    <t>11 Thành Thái, Phường Diên Hồng, Tp. HCM</t>
  </si>
  <si>
    <t>Văn nghệ, Học thuật - Truyền Thông, các CLB thể thao,...</t>
  </si>
  <si>
    <t>https://thptdienhong.hcm.edu.vn</t>
  </si>
  <si>
    <t>THPT Nguyễn Khuyến</t>
  </si>
  <si>
    <t>50 Thành Thái, Phường Hòa Hưng, Tp. HCM</t>
  </si>
  <si>
    <t>https://thptnguyenkhuyen.hcm.edu.vn</t>
  </si>
  <si>
    <t>THPT Nguyễn An Ninh</t>
  </si>
  <si>
    <t>93, Trần Nhân Tôn, Phường Vườn Lài, Tp. HCM</t>
  </si>
  <si>
    <t>38, 45, 69, 91, 139</t>
  </si>
  <si>
    <t>Học thuật, Công tác xã hội (Chuồn Chuồn), Nhảy hiện đại...</t>
  </si>
  <si>
    <t>https://thptnguyenanninh.hcm.edu.vn/</t>
  </si>
  <si>
    <t>THCS-THPT Sương Nguyệt Anh</t>
  </si>
  <si>
    <t>249 Hoà Hảo, Phường Vườn Lài, Tp. HCM</t>
  </si>
  <si>
    <t>05, 10, 45, 69, 150</t>
  </si>
  <si>
    <t>Hùng biện Tiếng Anh, Nghệ thuật, các CLB thể thao,...</t>
  </si>
  <si>
    <t>https://thptsuongnguyetanh.hcm.edu.vn</t>
  </si>
  <si>
    <t>THCS-THPT Duy Tân</t>
  </si>
  <si>
    <t>106 Nguyễn Giản Thanh, Phường Hoà Hưng, Tp. HCM</t>
  </si>
  <si>
    <t>Tư thục</t>
  </si>
  <si>
    <t>05, 10, 27, 38, 50, 69, 103, 148, 150</t>
  </si>
  <si>
    <t>Học thuật - Nghệ thuật - Thể thao, Liên kết lập trình viên...</t>
  </si>
  <si>
    <t>https://thptduytan.hcm.edu.vn</t>
  </si>
  <si>
    <t>TH-THCS-THPT Vạn Hạnh</t>
  </si>
  <si>
    <t>781E Lê Hồng Phong, Phường Hoà Hưng, Tp. HCM</t>
  </si>
  <si>
    <t>Văn hoá, Nghệ thuật, các CLB thể thao,...</t>
  </si>
  <si>
    <t>https://thptvanhanh.hcm.edu.vn</t>
  </si>
  <si>
    <t>THPT Nguyễn Thị Minh Khai</t>
  </si>
  <si>
    <t>275 Điện Biên Phủ, Phường Xuân Hòa, Tp. HCM</t>
  </si>
  <si>
    <t>04, 10, 30, 54, 91, 150</t>
  </si>
  <si>
    <t>Báo chí - Truyền thông '8:15', Hát Muzika, Nhiếp ảnh,...</t>
  </si>
  <si>
    <t>https://thptnguyenthiminhkhai.hcm.edu.vn</t>
  </si>
  <si>
    <t>THPT Marie Curie</t>
  </si>
  <si>
    <t>159 Nam Kỳ Khởi Nghĩa, Phường Xuân Hòa, Tp. HCM</t>
  </si>
  <si>
    <t>04, 06, 10, 36, 93, 150</t>
  </si>
  <si>
    <t>Truyền thông trẻ Mediarie, Nhiếp ảnh, Khoa học sáng tạo...</t>
  </si>
  <si>
    <t>https://thptmariecurie.hcm.edu.vn</t>
  </si>
  <si>
    <t>THPT Lê Quý Đôn</t>
  </si>
  <si>
    <t>110 Nguyễn Thị Minh Khai, Phường Xuân Hòa, Tp. HCM</t>
  </si>
  <si>
    <t>04, 06, 30, 31, 93, 152</t>
  </si>
  <si>
    <t>STEM, Tình nguyện - Kỹ năng sống, các CLB thể thao</t>
  </si>
  <si>
    <t>https://www.thpt-lequydon-hcm.edu.vn/home.aspx</t>
  </si>
  <si>
    <t>THPT Nguyễn Thị Diệu</t>
  </si>
  <si>
    <t>12 Trần Quốc Toản, Phường Xuân Hòa, Tp. HCM</t>
  </si>
  <si>
    <t>10, 28, 30, 91</t>
  </si>
  <si>
    <t>https://thptnguyenthidieu.hcm.edu.vn</t>
  </si>
  <si>
    <t>Trung tâm GDKTTH và HN Lê Thị Hồng Gấm</t>
  </si>
  <si>
    <t>147 Pasteur, Phường Xuân Hoà, Tp. HCM</t>
  </si>
  <si>
    <t>04, 36, 91, 109, 150</t>
  </si>
  <si>
    <t>Mỹ thuật, Nhảy, Truyền thống,...</t>
  </si>
  <si>
    <t>https://thptlethihonggam.hcm.edu.vn/</t>
  </si>
  <si>
    <t>THPT Nam Kỳ Khởi Nghĩa</t>
  </si>
  <si>
    <t>269/8 Nguyễn Thị Nhỏ, Phường Minh Phụng, Tp. HCM</t>
  </si>
  <si>
    <t>08, 14, 38, 62, 69, 145</t>
  </si>
  <si>
    <t>https://thptnamkykhoinghia.hcm.edu.vn</t>
  </si>
  <si>
    <t>THPT Nguyễn Hiền</t>
  </si>
  <si>
    <t>3 Dương Đình Nghệ, Phường Bình Thới, Tp. HCM</t>
  </si>
  <si>
    <t>59, 103, 145, 148</t>
  </si>
  <si>
    <t>Gym học đường, Karate, các CLB thể thao,...</t>
  </si>
  <si>
    <t>https://thptnguyenhien.hcm.edu.vn</t>
  </si>
  <si>
    <t>THPT Trần Quốc Tuấn</t>
  </si>
  <si>
    <t>236/10-12 Thái Phiên, Phường Bình Thới, Tp. HCM</t>
  </si>
  <si>
    <t>https://thpttranquoctuan.edu.vn/</t>
  </si>
  <si>
    <t>THPT Trần Quang Khải</t>
  </si>
  <si>
    <t>343D Lạc Long Quân, Phường Hoà Bình, Tp. HCM</t>
  </si>
  <si>
    <t>https://thpttranquangkhai.hcm.edu.vn/</t>
  </si>
  <si>
    <t>Trung học Thực hành Đại học Sư phạm</t>
  </si>
  <si>
    <t>280 An Dương Vương, Phường Chợ Quán, Tp. HCM</t>
  </si>
  <si>
    <t>06, 11, 38, 45, 56, 139</t>
  </si>
  <si>
    <t>http://trunghocthuchanh.hcmue.edu.vn/</t>
  </si>
  <si>
    <t>Trung học Thực hành Sài Gòn</t>
  </si>
  <si>
    <t>220 Trần Bình Phong, Phường Chợ Quán, Tp. HCM</t>
  </si>
  <si>
    <t>05, 27, 45, 56, 68, 91</t>
  </si>
  <si>
    <t>Lịch sử - Văn hoá, The Music Box, Lửa Thanh Xuân,...</t>
  </si>
  <si>
    <t>https://thuchanhsaigon.sgu.edu.vn/</t>
  </si>
  <si>
    <t>THPT Hùng Vương</t>
  </si>
  <si>
    <t>124 Hồng Bàng, Phường Chợ Lớn, Tp. HCM</t>
  </si>
  <si>
    <t>05, 06, 08, 09, 56, 139, 150</t>
  </si>
  <si>
    <t>https://thpthungvuong.hcm.edu.vn</t>
  </si>
  <si>
    <t>THPT Trần Khai Nguyên</t>
  </si>
  <si>
    <t>225 Nguyễn Tri Phương, Phường An Đông, Tp. HCM</t>
  </si>
  <si>
    <t>05, 10, 14, 56, 91, 139</t>
  </si>
  <si>
    <t>https://thpttrankhainguyen.hcm.edu.vn</t>
  </si>
  <si>
    <t>THPT Nguyễn Trãi</t>
  </si>
  <si>
    <t>364 Nguyễn Tất Thành, Phường Xóm Chiếu, Tp. HCM</t>
  </si>
  <si>
    <t>01, 06, 56, 139</t>
  </si>
  <si>
    <t>https://thptnguyentrai.hcm.edu.vn</t>
  </si>
  <si>
    <t>THPT Trần Hữu Trang</t>
  </si>
  <si>
    <t>276 Trần Hưng Đạo B, Phường Chợ Lớn, Tp. HCM</t>
  </si>
  <si>
    <t>01, 39, 56, 62, 63-1</t>
  </si>
  <si>
    <t>https://thpttranhuutrang.hcm.edu.vn</t>
  </si>
  <si>
    <t>THPT Nguyễn Thượng Hiền</t>
  </si>
  <si>
    <t>544 Cách Mạng Tháng 8, Phường Tân Sân Nhất, Tp. HCM</t>
  </si>
  <si>
    <t>08, 13, 30, 65, 103, 148</t>
  </si>
  <si>
    <t>Tranh biện (Phoenix), Nhảy hiện đại (LCD Crewz),...</t>
  </si>
  <si>
    <t>https://thptnguyenthuonghien.hcm.edu.vn</t>
  </si>
  <si>
    <t>THPT Tân Bình</t>
  </si>
  <si>
    <t>19 Nguyễn Thái Bình, Phường Tân Sơn Nhất, Tp. HCM</t>
  </si>
  <si>
    <t>04, 28, 65, 104, 152</t>
  </si>
  <si>
    <t>https://thpttanbinh.hcm.edu.vn</t>
  </si>
  <si>
    <t>THPT Nguyễn Chí Thanh</t>
  </si>
  <si>
    <t>1A Hoàng Hoa Thám, Phường Tân Sơn Nhất, Tp. HCM</t>
  </si>
  <si>
    <t>04, 13, 18, 30, 65, 145</t>
  </si>
  <si>
    <t>https://thptnguyenchithanh.hcm.edu.vn</t>
  </si>
  <si>
    <t>THPT Hoàng Hoa Thám</t>
  </si>
  <si>
    <t>6 Hoàng Hoa Thám, Phường Tân Sơn Nhất, Tp. HCM</t>
  </si>
  <si>
    <t>08, 24, 64, 104</t>
  </si>
  <si>
    <t>https://thpthoanghoatham.hcm.edu.vn</t>
  </si>
  <si>
    <t>THPT Trương Vĩnh Ký</t>
  </si>
  <si>
    <t>110 Bành Văn Trân, Phường Tân Sơn Nhất, Tp. HCM</t>
  </si>
  <si>
    <t>Em yêu khoa học, Borussia Dortmund, các CLB thể thao,...</t>
  </si>
  <si>
    <t>https://truongvinhky.edu.vn/</t>
  </si>
  <si>
    <t>THPT Nguyễn Thái Bình</t>
  </si>
  <si>
    <t>913-915 Lý Thường Kiệt, Phường Tân Hoà, Tp. HCM</t>
  </si>
  <si>
    <t>08, 38, 59, 63-1, 94, 103</t>
  </si>
  <si>
    <t>https://thptnguyenthaibinh.hcm.edu.vn</t>
  </si>
  <si>
    <t>THPT Bùi Thị Xuân</t>
  </si>
  <si>
    <t>73 Bùi Thị Xuân, Phường Bến Thành, Tp. HCM</t>
  </si>
  <si>
    <t>13, 28, 36, 93, 140</t>
  </si>
  <si>
    <t>Trí tuệ nhân tạo (AI - BTX), Văn nghệ Sắc màu,...</t>
  </si>
  <si>
    <t>https://thptbuithixuan.hcm.edu.vn</t>
  </si>
  <si>
    <t>THPT Ernst Thälmann (Ten Lơ Man)</t>
  </si>
  <si>
    <t>8 Trần Hưng Đạo, Phường Bến Thành, Tp. HCM</t>
  </si>
  <si>
    <t>01, 04, 18, 31, 36, 39, 45, 93, 152</t>
  </si>
  <si>
    <t>https://thpttenloman.hcm.edu.vn</t>
  </si>
  <si>
    <t>THPT Lương Thế Vinh</t>
  </si>
  <si>
    <t>131 Cô Bắc, Phường Cầu Ông Lãnh, Tp. HCM</t>
  </si>
  <si>
    <t>18, 36, 45, 139, 140</t>
  </si>
  <si>
    <t>https://thptluongthevinh.hcm.edu.vn</t>
  </si>
  <si>
    <t>THPT Trưng Vương</t>
  </si>
  <si>
    <t>3 Nguyễn Bỉnh Khiêm, Phường Sài Gòn, Tp. HCM</t>
  </si>
  <si>
    <t>05, 06, 14, 19, 30, 45, 52, 56</t>
  </si>
  <si>
    <t>Báo chí - Truyền Thông, Nhiếp ảnh Helianthus,...</t>
  </si>
  <si>
    <t>https://thpttrungvuong.hcm.edu.vn</t>
  </si>
  <si>
    <t>THPT Phú Nhuận</t>
  </si>
  <si>
    <t>5 Hoàng Minh Giám, Phường Đức Nhuận, Tp. HCM</t>
  </si>
  <si>
    <t>03, 07, 50, 55, 60-7, 148</t>
  </si>
  <si>
    <t>https://thptphunhuan.hcm.edu.vn</t>
  </si>
  <si>
    <t>THPT Trần Phú</t>
  </si>
  <si>
    <t>18 Lê Thúc Hoạch, Phường Phú Thọ Hòa, Tp. HCM</t>
  </si>
  <si>
    <t>32, 51, 69</t>
  </si>
  <si>
    <t>https://thpttranphu.hcm.edu.vn</t>
  </si>
  <si>
    <t>THPT Tây Thạnh</t>
  </si>
  <si>
    <t>27 đường C2, Phường Tây Thạnh, Tp. HCM</t>
  </si>
  <si>
    <t>16, 32, 48, 69, 95</t>
  </si>
  <si>
    <t>Truyền thông, Nhảy hiện đại, Tiếng Anh,...</t>
  </si>
  <si>
    <t>https://thpttaythanh.hcm.edu.vn</t>
  </si>
  <si>
    <t>THPT Gia Định</t>
  </si>
  <si>
    <t>44 Nguyễn Thượng Hiền, Phường Thạnh Mỹ Tây, Tp. HCM</t>
  </si>
  <si>
    <t>08, 24, 31, 51, 55, 60-7</t>
  </si>
  <si>
    <t>Truyền thông trẻ - News Revolution, Dance Group,...</t>
  </si>
  <si>
    <t>https://thptgiadinh.hcm.edu.vn</t>
  </si>
  <si>
    <t>THPT Võ Thị Sáu</t>
  </si>
  <si>
    <t>95 Đinh Tiên Hoàng, Phường Gia Định, Tp. HCM</t>
  </si>
  <si>
    <t>08, 18, 24, 31, 36, 51, 54, 91</t>
  </si>
  <si>
    <t>https://thptvothisau.hcm.edu.vn</t>
  </si>
  <si>
    <t>THPT Phan Đăng Lưu</t>
  </si>
  <si>
    <t>27 Nguyễn Văn Đậu, Phường Bình Lợi Trung, Tp. HCM</t>
  </si>
  <si>
    <t>https://thptphandangluu.hcm.edu.vn</t>
  </si>
  <si>
    <t>THPT Trần Văn Giàu</t>
  </si>
  <si>
    <t>203/40 Đường Trục 30, Phường Bình Lợi Trung, Tp. HCM</t>
  </si>
  <si>
    <t>18, 24, 31, 51, 91</t>
  </si>
  <si>
    <t>https://thpttranvangiau.hcm.edu.vn</t>
  </si>
  <si>
    <t>THPT Gò Vấp</t>
  </si>
  <si>
    <t>90A Nguyễn Thái Sơn, Phường Hạnh Thông, Tp. HCM</t>
  </si>
  <si>
    <t>07, 36, 50, 59, 148</t>
  </si>
  <si>
    <t>https://thptgovap.hcm.edu.vn</t>
  </si>
  <si>
    <t>THPT Nguyễn Công Trứ</t>
  </si>
  <si>
    <t>97 Quang Trung, Phường Thông Tây Hội, Tp. HCM</t>
  </si>
  <si>
    <t>18, 24, 36, 55, 95, 146</t>
  </si>
  <si>
    <t>https://thptnguyencongtru.hcm.edu.vn</t>
  </si>
  <si>
    <t>THPT Trần Hưng Đạo</t>
  </si>
  <si>
    <t>88/955E Trần Đức Thọ, Phường An Nhơn, Tp. HCM</t>
  </si>
  <si>
    <t>36, 146</t>
  </si>
  <si>
    <t>https://thpttranhungdao.hcm.edu.vn</t>
  </si>
  <si>
    <t>THPT Nguyễn Trung Trực</t>
  </si>
  <si>
    <t>746 Lê Đức Thọ, Phường An Hội Đông, Tp. HCM</t>
  </si>
  <si>
    <t>32, 36, 146</t>
  </si>
  <si>
    <t>https://thptnguyentrungtruc.hcm.edu.vn</t>
  </si>
  <si>
    <t>THPT Mạc Đĩnh Chi</t>
  </si>
  <si>
    <t>4 Thuận Kiều, Phường Phú Lâm, Tp. HCM</t>
  </si>
  <si>
    <t>07, 08, 10, 56, 62, 63-1, 139, 150</t>
  </si>
  <si>
    <t>Phát thanh Nhảy hiện đại, Nhiếp ảnh,...</t>
  </si>
  <si>
    <t>https://thptmacdinhchi.hcm.edu.vn</t>
  </si>
  <si>
    <t>THPT Bình Phú</t>
  </si>
  <si>
    <t>84/47 Lý Chiêu Hoàng, Phường Bình Phú, Tp. HCM</t>
  </si>
  <si>
    <t>10, 16, 32, 39, 61, 148</t>
  </si>
  <si>
    <t>https://thptbinhphu.hcm.edu.vn</t>
  </si>
  <si>
    <t>THPT Lương Văn Can</t>
  </si>
  <si>
    <t>173 Phạm Hùng, Phường Chánh Hưng, Tp. HCM</t>
  </si>
  <si>
    <t>09, 34, 59, 102</t>
  </si>
  <si>
    <t>https://thptluongvancan.hcm.edu.vn</t>
  </si>
  <si>
    <t>HỒ SƠ NĂNG LỰC HỌC SINH VÀ BẢNG TRỌNG SỐ 7 TIÊU CHÍ AHP (Ma_Tran_AHP_WebGIS.pdf)</t>
  </si>
  <si>
    <t>I. THÔNG TIN THIẾT LẬP CÁ NHÂN HÓA HỌC SINH (GIAO DIỆN BẢN ĐỒ TƯƠNG TÁC)</t>
  </si>
  <si>
    <t>Địa chỉ / Tọa độ nhà học sinh (L_user):</t>
  </si>
  <si>
    <t>XX1 Đường Đồng Nai, Phường Hòa Hưng, Quận 10, TP.HCM</t>
  </si>
  <si>
    <t>Nhập vị trí nhà học sinh</t>
  </si>
  <si>
    <t>Điểm thi tuyển sinh dự kiến (S_user):</t>
  </si>
  <si>
    <t>Thang điểm 30 (Toán + Văn + Anh + Ưu tiên)</t>
  </si>
  <si>
    <t>Nhu cầu bán trú (B_user):</t>
  </si>
  <si>
    <t>1 = CẦN BÁN TRÚ | 0 = KHÔNG CẦN</t>
  </si>
  <si>
    <t>Loại hình trường ưu tiên:</t>
  </si>
  <si>
    <t>Công lập / Tư thục / Tất cả</t>
  </si>
  <si>
    <t>Tổ hợp môn tự chọn mong muốn (GDPT 2018):</t>
  </si>
  <si>
    <t>Lý, Hóa, Sinh, KNTI</t>
  </si>
  <si>
    <t>KHTN / KHXH / Công nghệ / Nghệ thuật</t>
  </si>
  <si>
    <t>Điểm đáp ứng tổ hợp môn chuẩn hóa (c_i3):</t>
  </si>
  <si>
    <t>Thang điểm 0 - 10</t>
  </si>
  <si>
    <t>II. KẾT QUẢ ĐỀ XUẤT TOP 3 TRƯỜNG THPT PHÙ HỢP NHẤT THỜI GIAN THỰC</t>
  </si>
  <si>
    <t>Thứ Hạng</t>
  </si>
  <si>
    <t>Tên Trường THPT Đề Xuất</t>
  </si>
  <si>
    <t>Điểm Chuẩn 2026</t>
  </si>
  <si>
    <t>Khoảng Cách (km)</t>
  </si>
  <si>
    <t>Điểm Tương Thích (S_i)</t>
  </si>
  <si>
    <t>Top 1</t>
  </si>
  <si>
    <t>Top 2</t>
  </si>
  <si>
    <t>Top 3</t>
  </si>
  <si>
    <t>III. BẢNG TRỌNG SỐ VÀ MA TRẬN CHUẨN HÓA AHP 7 TIÊU CHÍ (TỪ Ma_Tran_AHP_WebGIS.pdf)</t>
  </si>
  <si>
    <t>Danh Mục 7 Tiêu Chí AHP</t>
  </si>
  <si>
    <t>Điểm Khảo Sat TB (Mean)</t>
  </si>
  <si>
    <t>Trọng Số W (Eigenvector)</t>
  </si>
  <si>
    <t>Trọng Số (%)</t>
  </si>
  <si>
    <t>Chất lượng đào tạo</t>
  </si>
  <si>
    <t>15.40%</t>
  </si>
  <si>
    <t>Môi trường &amp; Cơ sở vật chất</t>
  </si>
  <si>
    <t>15.15%</t>
  </si>
  <si>
    <t>Định hướng học tập (tổ hợp môn)</t>
  </si>
  <si>
    <t>14.49%</t>
  </si>
  <si>
    <t>Khả năng trúng tuyển</t>
  </si>
  <si>
    <t>14.39%</t>
  </si>
  <si>
    <t>Tài chính (học phí)</t>
  </si>
  <si>
    <t>13.96%</t>
  </si>
  <si>
    <t>Vị trí &amp; Khả năng di chuyển</t>
  </si>
  <si>
    <t>13.77%</t>
  </si>
  <si>
    <t>Mô hình học tập (bán trú)</t>
  </si>
  <si>
    <t>12.84%</t>
  </si>
  <si>
    <t>Kiểm định tính nhất quán AHP: λ_max = 7.000 | n = 7 | CI = 0.000 | RI = 1.320 | CR = 0.0 (&lt; 0.1) -&gt; ĐẠT ĐỘ NHẤT QUÁN TUYỆT ĐỐI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</si>
</sst>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1"/>
      <name val="Calibri"/>
    </font>
    <font>
      <b/>
      <sz val="12"/>
      <color rgb="FFFFFFFF"/>
      <name val="Calibri"/>
    </font>
    <font>
      <i/>
      <sz val="10"/>
      <color rgb="FF595959"/>
      <name val="Calibri"/>
    </font>
    <font>
      <b/>
      <sz val="10"/>
      <color rgb="FF37562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2" fontId="0" fillId="4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3" fillId="7" borderId="1" xfId="0" applyFont="1" applyFill="1" applyBorder="1" applyAlignment="1">
      <alignment horizontal="left"/>
    </xf>
    <xf numFmtId="0" fontId="6" fillId="0" borderId="0" xfId="0" applyFont="1"/>
    <xf numFmtId="2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6" borderId="0" xfId="0" applyFont="1" applyFill="1"/>
    <xf numFmtId="0" fontId="7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8"/>
  <sheetViews>
    <sheetView tabSelected="1" topLeftCell="D1" workbookViewId="0">
      <selection activeCell="N13" sqref="N13"/>
    </sheetView>
  </sheetViews>
  <sheetFormatPr defaultRowHeight="15" x14ac:dyDescent="0.25"/>
  <cols>
    <col min="1" max="1" width="6" customWidth="1"/>
    <col min="2" max="2" width="30" customWidth="1"/>
    <col min="3" max="3" width="45" customWidth="1"/>
    <col min="4" max="4" width="12" customWidth="1"/>
    <col min="5" max="5" width="15" customWidth="1"/>
    <col min="6" max="6" width="12" customWidth="1"/>
    <col min="7" max="7" width="13" customWidth="1"/>
    <col min="8" max="8" width="18" customWidth="1"/>
    <col min="9" max="9" width="21" customWidth="1"/>
    <col min="10" max="10" width="12" customWidth="1"/>
    <col min="11" max="12" width="13" customWidth="1"/>
    <col min="13" max="13" width="12" customWidth="1"/>
    <col min="14" max="14" width="16" customWidth="1"/>
    <col min="15" max="16" width="40" customWidth="1"/>
    <col min="17" max="17" width="35" customWidth="1"/>
    <col min="18" max="18" width="44" customWidth="1"/>
    <col min="19" max="19" width="46" customWidth="1"/>
    <col min="20" max="20" width="29" customWidth="1"/>
    <col min="21" max="21" width="23" customWidth="1"/>
    <col min="22" max="22" width="132" customWidth="1"/>
    <col min="23" max="23" width="35" customWidth="1"/>
    <col min="24" max="24" width="27" customWidth="1"/>
    <col min="25" max="25" width="63" customWidth="1"/>
    <col min="26" max="26" width="85" customWidth="1"/>
    <col min="27" max="27" width="124" customWidth="1"/>
  </cols>
  <sheetData>
    <row r="1" spans="1:27" ht="30" customHeight="1" x14ac:dyDescent="0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ht="27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</row>
    <row r="3" spans="1:27" ht="20.100000000000001" customHeight="1" x14ac:dyDescent="0.25">
      <c r="A3" s="3">
        <v>1</v>
      </c>
      <c r="B3" s="4" t="s">
        <v>28</v>
      </c>
      <c r="C3" s="4" t="s">
        <v>29</v>
      </c>
      <c r="D3" s="4" t="s">
        <v>30</v>
      </c>
      <c r="E3" s="3" t="s">
        <v>31</v>
      </c>
      <c r="F3" s="3">
        <v>10.779094000000001</v>
      </c>
      <c r="G3" s="3">
        <v>106.66238300000001</v>
      </c>
      <c r="H3" s="3">
        <v>21.75</v>
      </c>
      <c r="I3" s="3">
        <v>20</v>
      </c>
      <c r="J3" s="3">
        <v>595</v>
      </c>
      <c r="K3" s="3">
        <v>1.38</v>
      </c>
      <c r="L3" s="3" t="s">
        <v>31</v>
      </c>
      <c r="M3" s="3" t="s">
        <v>31</v>
      </c>
      <c r="N3" s="5">
        <v>1767000</v>
      </c>
      <c r="O3" s="4" t="s">
        <v>32</v>
      </c>
      <c r="P3" s="4" t="s">
        <v>33</v>
      </c>
      <c r="Q3" s="4" t="s">
        <v>34</v>
      </c>
      <c r="R3" s="6" t="e">
        <f ca="1">TINHKHOANGCACH(Ho_So_Hoc_Sinh!$B$3, C3)</f>
        <v>#NAME?</v>
      </c>
      <c r="S3" s="7">
        <f t="shared" ref="S3:S48" si="0">IF(ISBLANK(K3), 7, MIN(10, K3 * 4.5))</f>
        <v>6.2099999999999991</v>
      </c>
      <c r="T3" s="7">
        <f t="shared" ref="T3:T48" si="1">IF(L3="Có", 10, 6)</f>
        <v>10</v>
      </c>
      <c r="U3" s="7">
        <f>Ho_So_Hoc_Sinh!$B$8</f>
        <v>10</v>
      </c>
      <c r="V3" s="7">
        <f>IF(ISBLANK(H3), 7.5, IF(Ho_So_Hoc_Sinh!$B$4&gt;=H3+1, 10, IF(Ho_So_Hoc_Sinh!$B$4&lt;H3-1, 0, 10 - 5*(H3+1-Ho_So_Hoc_Sinh!$B$4))))</f>
        <v>1.25</v>
      </c>
      <c r="W3" s="7">
        <f t="shared" ref="W3:W48" si="2">IF(D3="Công lập", 10, 5)</f>
        <v>10</v>
      </c>
      <c r="X3" s="7" t="e">
        <f t="shared" ref="X3:X48" ca="1" si="3">MAX(0, 10*(1 - R3/10))</f>
        <v>#NAME?</v>
      </c>
      <c r="Y3" s="7">
        <f>IF(Ho_So_Hoc_Sinh!$B$5=0, 10, IF(M3="Có", 10, 0))</f>
        <v>10</v>
      </c>
      <c r="Z3" s="8" t="e">
        <f t="shared" ref="Z3:Z48" ca="1" si="4">0.154*S3 + 0.152*T3 + 0.145*U3 + 0.144*V3 + 0.14*W3 + 0.138*X3 + 0.128*Y3</f>
        <v>#NAME?</v>
      </c>
      <c r="AA3" s="9" t="e">
        <f t="shared" ref="AA3:AA48" ca="1" si="5">IF(RANK(Z3, $Z$3:$Z$48)=1, "Top 1", IF(RANK(Z3, $Z$3:$Z$48)=2, "Top 2", IF(RANK(Z3, $Z$3:$Z$48)=3, "Top 3", "Khác")))</f>
        <v>#NAME?</v>
      </c>
    </row>
    <row r="4" spans="1:27" ht="20.100000000000001" customHeight="1" x14ac:dyDescent="0.25">
      <c r="A4" s="3">
        <v>2</v>
      </c>
      <c r="B4" s="4" t="s">
        <v>35</v>
      </c>
      <c r="C4" s="4" t="s">
        <v>36</v>
      </c>
      <c r="D4" s="4" t="s">
        <v>30</v>
      </c>
      <c r="E4" s="3" t="s">
        <v>31</v>
      </c>
      <c r="F4" s="3">
        <v>10.770550999999999</v>
      </c>
      <c r="G4" s="3">
        <v>106.665477</v>
      </c>
      <c r="H4" s="3">
        <v>15</v>
      </c>
      <c r="I4" s="3">
        <v>13.92</v>
      </c>
      <c r="J4" s="3">
        <v>450</v>
      </c>
      <c r="K4" s="3">
        <v>0.51</v>
      </c>
      <c r="L4" s="3" t="s">
        <v>31</v>
      </c>
      <c r="M4" s="3" t="s">
        <v>31</v>
      </c>
      <c r="N4" s="5">
        <v>200000</v>
      </c>
      <c r="O4" s="4" t="s">
        <v>32</v>
      </c>
      <c r="P4" s="4" t="s">
        <v>37</v>
      </c>
      <c r="Q4" s="4" t="s">
        <v>38</v>
      </c>
      <c r="R4" s="6" t="e">
        <f ca="1">TINHKHOANGCACH(Ho_So_Hoc_Sinh!$B$3, C4)</f>
        <v>#NAME?</v>
      </c>
      <c r="S4" s="7">
        <f t="shared" si="0"/>
        <v>2.2949999999999999</v>
      </c>
      <c r="T4" s="7">
        <f t="shared" si="1"/>
        <v>10</v>
      </c>
      <c r="U4" s="7">
        <f>Ho_So_Hoc_Sinh!$B$8</f>
        <v>10</v>
      </c>
      <c r="V4" s="7">
        <f>IF(ISBLANK(H4), 7.5, IF(Ho_So_Hoc_Sinh!$B$4&gt;=H4+1, 10, IF(Ho_So_Hoc_Sinh!$B$4&lt;H4-1, 0, 10 - 5*(H4+1-Ho_So_Hoc_Sinh!$B$4))))</f>
        <v>10</v>
      </c>
      <c r="W4" s="7">
        <f t="shared" si="2"/>
        <v>10</v>
      </c>
      <c r="X4" s="7" t="e">
        <f t="shared" ca="1" si="3"/>
        <v>#NAME?</v>
      </c>
      <c r="Y4" s="7">
        <f>IF(Ho_So_Hoc_Sinh!$B$5=0, 10, IF(M4="Có", 10, 0))</f>
        <v>10</v>
      </c>
      <c r="Z4" s="8" t="e">
        <f t="shared" ca="1" si="4"/>
        <v>#NAME?</v>
      </c>
      <c r="AA4" s="9" t="e">
        <f t="shared" ca="1" si="5"/>
        <v>#NAME?</v>
      </c>
    </row>
    <row r="5" spans="1:27" ht="20.100000000000001" customHeight="1" x14ac:dyDescent="0.25">
      <c r="A5" s="3">
        <v>3</v>
      </c>
      <c r="B5" s="4" t="s">
        <v>39</v>
      </c>
      <c r="C5" s="4" t="s">
        <v>40</v>
      </c>
      <c r="D5" s="4" t="s">
        <v>30</v>
      </c>
      <c r="E5" s="3" t="s">
        <v>31</v>
      </c>
      <c r="F5" s="3">
        <v>10.769634999999999</v>
      </c>
      <c r="G5" s="3">
        <v>106.66667</v>
      </c>
      <c r="H5" s="3">
        <v>20.75</v>
      </c>
      <c r="I5" s="3">
        <v>19.25</v>
      </c>
      <c r="J5" s="3">
        <v>855</v>
      </c>
      <c r="K5" s="3">
        <v>1.18</v>
      </c>
      <c r="L5" s="3" t="s">
        <v>31</v>
      </c>
      <c r="M5" s="3" t="s">
        <v>31</v>
      </c>
      <c r="N5" s="5">
        <v>200000</v>
      </c>
      <c r="O5" s="4" t="s">
        <v>32</v>
      </c>
      <c r="P5" s="4" t="s">
        <v>37</v>
      </c>
      <c r="Q5" s="4" t="s">
        <v>41</v>
      </c>
      <c r="R5" s="6" t="e">
        <f ca="1">TINHKHOANGCACH(Ho_So_Hoc_Sinh!$B$3, C5)</f>
        <v>#NAME?</v>
      </c>
      <c r="S5" s="7">
        <f t="shared" si="0"/>
        <v>5.31</v>
      </c>
      <c r="T5" s="7">
        <f t="shared" si="1"/>
        <v>10</v>
      </c>
      <c r="U5" s="7">
        <f>Ho_So_Hoc_Sinh!$B$8</f>
        <v>10</v>
      </c>
      <c r="V5" s="7">
        <f>IF(ISBLANK(H5), 7.5, IF(Ho_So_Hoc_Sinh!$B$4&gt;=H5+1, 10, IF(Ho_So_Hoc_Sinh!$B$4&lt;H5-1, 0, 10 - 5*(H5+1-Ho_So_Hoc_Sinh!$B$4))))</f>
        <v>6.25</v>
      </c>
      <c r="W5" s="7">
        <f t="shared" si="2"/>
        <v>10</v>
      </c>
      <c r="X5" s="7" t="e">
        <f t="shared" ca="1" si="3"/>
        <v>#NAME?</v>
      </c>
      <c r="Y5" s="7">
        <f>IF(Ho_So_Hoc_Sinh!$B$5=0, 10, IF(M5="Có", 10, 0))</f>
        <v>10</v>
      </c>
      <c r="Z5" s="8" t="e">
        <f t="shared" ca="1" si="4"/>
        <v>#NAME?</v>
      </c>
      <c r="AA5" s="9" t="e">
        <f t="shared" ca="1" si="5"/>
        <v>#NAME?</v>
      </c>
    </row>
    <row r="6" spans="1:27" ht="20.100000000000001" customHeight="1" x14ac:dyDescent="0.25">
      <c r="A6" s="3">
        <v>4</v>
      </c>
      <c r="B6" s="4" t="s">
        <v>42</v>
      </c>
      <c r="C6" s="4" t="s">
        <v>43</v>
      </c>
      <c r="D6" s="4" t="s">
        <v>30</v>
      </c>
      <c r="E6" s="3" t="s">
        <v>31</v>
      </c>
      <c r="F6" s="3">
        <v>10.761618</v>
      </c>
      <c r="G6" s="3">
        <v>106.67416299999999</v>
      </c>
      <c r="H6" s="3">
        <v>16.25</v>
      </c>
      <c r="I6" s="3">
        <v>15.08</v>
      </c>
      <c r="J6" s="3">
        <v>900</v>
      </c>
      <c r="K6" s="3">
        <v>0.69</v>
      </c>
      <c r="L6" s="3" t="s">
        <v>31</v>
      </c>
      <c r="M6" s="3" t="s">
        <v>31</v>
      </c>
      <c r="N6" s="5">
        <v>200000</v>
      </c>
      <c r="O6" s="4" t="s">
        <v>44</v>
      </c>
      <c r="P6" s="4" t="s">
        <v>45</v>
      </c>
      <c r="Q6" s="4" t="s">
        <v>46</v>
      </c>
      <c r="R6" s="6" t="e">
        <f ca="1">TINHKHOANGCACH(Ho_So_Hoc_Sinh!$B$3, C6)</f>
        <v>#NAME?</v>
      </c>
      <c r="S6" s="7">
        <f t="shared" si="0"/>
        <v>3.1049999999999995</v>
      </c>
      <c r="T6" s="7">
        <f t="shared" si="1"/>
        <v>10</v>
      </c>
      <c r="U6" s="7">
        <f>Ho_So_Hoc_Sinh!$B$8</f>
        <v>10</v>
      </c>
      <c r="V6" s="7">
        <f>IF(ISBLANK(H6), 7.5, IF(Ho_So_Hoc_Sinh!$B$4&gt;=H6+1, 10, IF(Ho_So_Hoc_Sinh!$B$4&lt;H6-1, 0, 10 - 5*(H6+1-Ho_So_Hoc_Sinh!$B$4))))</f>
        <v>10</v>
      </c>
      <c r="W6" s="7">
        <f t="shared" si="2"/>
        <v>10</v>
      </c>
      <c r="X6" s="7" t="e">
        <f t="shared" ca="1" si="3"/>
        <v>#NAME?</v>
      </c>
      <c r="Y6" s="7">
        <f>IF(Ho_So_Hoc_Sinh!$B$5=0, 10, IF(M6="Có", 10, 0))</f>
        <v>10</v>
      </c>
      <c r="Z6" s="8" t="e">
        <f t="shared" ca="1" si="4"/>
        <v>#NAME?</v>
      </c>
      <c r="AA6" s="9" t="e">
        <f t="shared" ca="1" si="5"/>
        <v>#NAME?</v>
      </c>
    </row>
    <row r="7" spans="1:27" ht="20.100000000000001" customHeight="1" x14ac:dyDescent="0.25">
      <c r="A7" s="3">
        <v>5</v>
      </c>
      <c r="B7" s="4" t="s">
        <v>47</v>
      </c>
      <c r="C7" s="4" t="s">
        <v>48</v>
      </c>
      <c r="D7" s="4" t="s">
        <v>30</v>
      </c>
      <c r="E7" s="3" t="s">
        <v>31</v>
      </c>
      <c r="F7" s="3">
        <v>10.76229</v>
      </c>
      <c r="G7" s="3">
        <v>106.670992</v>
      </c>
      <c r="H7" s="3">
        <v>13.5</v>
      </c>
      <c r="I7" s="3">
        <v>13</v>
      </c>
      <c r="J7" s="3">
        <v>450</v>
      </c>
      <c r="K7" s="3">
        <v>0.33</v>
      </c>
      <c r="L7" s="3" t="s">
        <v>31</v>
      </c>
      <c r="M7" s="3" t="s">
        <v>31</v>
      </c>
      <c r="N7" s="5">
        <v>200000</v>
      </c>
      <c r="O7" s="4" t="s">
        <v>49</v>
      </c>
      <c r="P7" s="4" t="s">
        <v>50</v>
      </c>
      <c r="Q7" s="4" t="s">
        <v>51</v>
      </c>
      <c r="R7" s="6" t="e">
        <f ca="1">TINHKHOANGCACH(Ho_So_Hoc_Sinh!$B$3, C7)</f>
        <v>#NAME?</v>
      </c>
      <c r="S7" s="7">
        <f t="shared" si="0"/>
        <v>1.4850000000000001</v>
      </c>
      <c r="T7" s="7">
        <f t="shared" si="1"/>
        <v>10</v>
      </c>
      <c r="U7" s="7">
        <f>Ho_So_Hoc_Sinh!$B$8</f>
        <v>10</v>
      </c>
      <c r="V7" s="7">
        <f>IF(ISBLANK(H7), 7.5, IF(Ho_So_Hoc_Sinh!$B$4&gt;=H7+1, 10, IF(Ho_So_Hoc_Sinh!$B$4&lt;H7-1, 0, 10 - 5*(H7+1-Ho_So_Hoc_Sinh!$B$4))))</f>
        <v>10</v>
      </c>
      <c r="W7" s="7">
        <f t="shared" si="2"/>
        <v>10</v>
      </c>
      <c r="X7" s="7" t="e">
        <f t="shared" ca="1" si="3"/>
        <v>#NAME?</v>
      </c>
      <c r="Y7" s="7">
        <f>IF(Ho_So_Hoc_Sinh!$B$5=0, 10, IF(M7="Có", 10, 0))</f>
        <v>10</v>
      </c>
      <c r="Z7" s="8" t="e">
        <f t="shared" ca="1" si="4"/>
        <v>#NAME?</v>
      </c>
      <c r="AA7" s="9" t="e">
        <f t="shared" ca="1" si="5"/>
        <v>#NAME?</v>
      </c>
    </row>
    <row r="8" spans="1:27" ht="20.100000000000001" customHeight="1" x14ac:dyDescent="0.25">
      <c r="A8" s="3">
        <v>6</v>
      </c>
      <c r="B8" s="4" t="s">
        <v>52</v>
      </c>
      <c r="C8" s="4" t="s">
        <v>53</v>
      </c>
      <c r="D8" s="4" t="s">
        <v>54</v>
      </c>
      <c r="E8" s="3" t="s">
        <v>31</v>
      </c>
      <c r="F8" s="3">
        <v>10.783253</v>
      </c>
      <c r="G8" s="3">
        <v>106.66285999999999</v>
      </c>
      <c r="H8" s="3"/>
      <c r="I8" s="3"/>
      <c r="J8" s="3"/>
      <c r="K8" s="3"/>
      <c r="L8" s="3" t="s">
        <v>31</v>
      </c>
      <c r="M8" s="3" t="s">
        <v>31</v>
      </c>
      <c r="N8" s="5">
        <v>200000</v>
      </c>
      <c r="O8" s="4" t="s">
        <v>55</v>
      </c>
      <c r="P8" s="4" t="s">
        <v>56</v>
      </c>
      <c r="Q8" s="4" t="s">
        <v>57</v>
      </c>
      <c r="R8" s="6" t="e">
        <f ca="1">TINHKHOANGCACH(Ho_So_Hoc_Sinh!$B$3, C8)</f>
        <v>#NAME?</v>
      </c>
      <c r="S8" s="7">
        <f t="shared" si="0"/>
        <v>7</v>
      </c>
      <c r="T8" s="7">
        <f t="shared" si="1"/>
        <v>10</v>
      </c>
      <c r="U8" s="7">
        <f>Ho_So_Hoc_Sinh!$B$8</f>
        <v>10</v>
      </c>
      <c r="V8" s="7">
        <f>IF(ISBLANK(H8), 7.5, IF(Ho_So_Hoc_Sinh!$B$4&gt;=H8+1, 10, IF(Ho_So_Hoc_Sinh!$B$4&lt;H8-1, 0, 10 - 5*(H8+1-Ho_So_Hoc_Sinh!$B$4))))</f>
        <v>7.5</v>
      </c>
      <c r="W8" s="7">
        <f t="shared" si="2"/>
        <v>5</v>
      </c>
      <c r="X8" s="7" t="e">
        <f t="shared" ca="1" si="3"/>
        <v>#NAME?</v>
      </c>
      <c r="Y8" s="7">
        <f>IF(Ho_So_Hoc_Sinh!$B$5=0, 10, IF(M8="Có", 10, 0))</f>
        <v>10</v>
      </c>
      <c r="Z8" s="8" t="e">
        <f t="shared" ca="1" si="4"/>
        <v>#NAME?</v>
      </c>
      <c r="AA8" s="9" t="e">
        <f t="shared" ca="1" si="5"/>
        <v>#NAME?</v>
      </c>
    </row>
    <row r="9" spans="1:27" ht="20.100000000000001" customHeight="1" x14ac:dyDescent="0.25">
      <c r="A9" s="3">
        <v>7</v>
      </c>
      <c r="B9" s="4" t="s">
        <v>58</v>
      </c>
      <c r="C9" s="4" t="s">
        <v>59</v>
      </c>
      <c r="D9" s="4" t="s">
        <v>54</v>
      </c>
      <c r="E9" s="3" t="s">
        <v>31</v>
      </c>
      <c r="F9" s="3">
        <v>10.772052</v>
      </c>
      <c r="G9" s="3">
        <v>106.670771</v>
      </c>
      <c r="H9" s="3"/>
      <c r="I9" s="3"/>
      <c r="J9" s="3"/>
      <c r="K9" s="3"/>
      <c r="L9" s="3" t="s">
        <v>31</v>
      </c>
      <c r="M9" s="3" t="s">
        <v>31</v>
      </c>
      <c r="N9" s="5">
        <v>4000000</v>
      </c>
      <c r="O9" s="4" t="s">
        <v>55</v>
      </c>
      <c r="P9" s="4" t="s">
        <v>60</v>
      </c>
      <c r="Q9" s="4" t="s">
        <v>61</v>
      </c>
      <c r="R9" s="6" t="e">
        <f ca="1">TINHKHOANGCACH(Ho_So_Hoc_Sinh!$B$3, C9)</f>
        <v>#NAME?</v>
      </c>
      <c r="S9" s="7">
        <f t="shared" si="0"/>
        <v>7</v>
      </c>
      <c r="T9" s="7">
        <f t="shared" si="1"/>
        <v>10</v>
      </c>
      <c r="U9" s="7">
        <f>Ho_So_Hoc_Sinh!$B$8</f>
        <v>10</v>
      </c>
      <c r="V9" s="7">
        <f>IF(ISBLANK(H9), 7.5, IF(Ho_So_Hoc_Sinh!$B$4&gt;=H9+1, 10, IF(Ho_So_Hoc_Sinh!$B$4&lt;H9-1, 0, 10 - 5*(H9+1-Ho_So_Hoc_Sinh!$B$4))))</f>
        <v>7.5</v>
      </c>
      <c r="W9" s="7">
        <f t="shared" si="2"/>
        <v>5</v>
      </c>
      <c r="X9" s="7" t="e">
        <f t="shared" ca="1" si="3"/>
        <v>#NAME?</v>
      </c>
      <c r="Y9" s="7">
        <f>IF(Ho_So_Hoc_Sinh!$B$5=0, 10, IF(M9="Có", 10, 0))</f>
        <v>10</v>
      </c>
      <c r="Z9" s="8" t="e">
        <f t="shared" ca="1" si="4"/>
        <v>#NAME?</v>
      </c>
      <c r="AA9" s="9" t="e">
        <f t="shared" ca="1" si="5"/>
        <v>#NAME?</v>
      </c>
    </row>
    <row r="10" spans="1:27" ht="20.100000000000001" customHeight="1" x14ac:dyDescent="0.25">
      <c r="A10" s="3">
        <v>8</v>
      </c>
      <c r="B10" s="4" t="s">
        <v>62</v>
      </c>
      <c r="C10" s="4" t="s">
        <v>63</v>
      </c>
      <c r="D10" s="4" t="s">
        <v>30</v>
      </c>
      <c r="E10" s="3" t="s">
        <v>31</v>
      </c>
      <c r="F10" s="3">
        <v>10.779171</v>
      </c>
      <c r="G10" s="3">
        <v>106.686787</v>
      </c>
      <c r="H10" s="3">
        <v>24.5</v>
      </c>
      <c r="I10" s="3">
        <v>23.83</v>
      </c>
      <c r="J10" s="3">
        <v>845</v>
      </c>
      <c r="K10" s="3">
        <v>1.97</v>
      </c>
      <c r="L10" s="3" t="s">
        <v>31</v>
      </c>
      <c r="M10" s="3" t="s">
        <v>31</v>
      </c>
      <c r="N10" s="5">
        <v>200000</v>
      </c>
      <c r="O10" s="4" t="s">
        <v>64</v>
      </c>
      <c r="P10" s="4" t="s">
        <v>65</v>
      </c>
      <c r="Q10" s="4" t="s">
        <v>66</v>
      </c>
      <c r="R10" s="6" t="e">
        <f ca="1">TINHKHOANGCACH(Ho_So_Hoc_Sinh!$B$3, C10)</f>
        <v>#NAME?</v>
      </c>
      <c r="S10" s="7">
        <f t="shared" si="0"/>
        <v>8.8650000000000002</v>
      </c>
      <c r="T10" s="7">
        <f t="shared" si="1"/>
        <v>10</v>
      </c>
      <c r="U10" s="7">
        <f>Ho_So_Hoc_Sinh!$B$8</f>
        <v>10</v>
      </c>
      <c r="V10" s="7">
        <f>IF(ISBLANK(H10), 7.5, IF(Ho_So_Hoc_Sinh!$B$4&gt;=H10+1, 10, IF(Ho_So_Hoc_Sinh!$B$4&lt;H10-1, 0, 10 - 5*(H10+1-Ho_So_Hoc_Sinh!$B$4))))</f>
        <v>0</v>
      </c>
      <c r="W10" s="7">
        <f t="shared" si="2"/>
        <v>10</v>
      </c>
      <c r="X10" s="7" t="e">
        <f t="shared" ca="1" si="3"/>
        <v>#NAME?</v>
      </c>
      <c r="Y10" s="7">
        <f>IF(Ho_So_Hoc_Sinh!$B$5=0, 10, IF(M10="Có", 10, 0))</f>
        <v>10</v>
      </c>
      <c r="Z10" s="8" t="e">
        <f t="shared" ca="1" si="4"/>
        <v>#NAME?</v>
      </c>
      <c r="AA10" s="9" t="e">
        <f t="shared" ca="1" si="5"/>
        <v>#NAME?</v>
      </c>
    </row>
    <row r="11" spans="1:27" ht="20.100000000000001" customHeight="1" x14ac:dyDescent="0.25">
      <c r="A11" s="3">
        <v>9</v>
      </c>
      <c r="B11" s="4" t="s">
        <v>67</v>
      </c>
      <c r="C11" s="4" t="s">
        <v>68</v>
      </c>
      <c r="D11" s="4" t="s">
        <v>30</v>
      </c>
      <c r="E11" s="3" t="s">
        <v>31</v>
      </c>
      <c r="F11" s="3">
        <v>10.782565</v>
      </c>
      <c r="G11" s="3">
        <v>106.69119000000001</v>
      </c>
      <c r="H11" s="3">
        <v>22.25</v>
      </c>
      <c r="I11" s="3">
        <v>20.5</v>
      </c>
      <c r="J11" s="3">
        <v>1000</v>
      </c>
      <c r="K11" s="3">
        <v>1.52</v>
      </c>
      <c r="L11" s="3" t="s">
        <v>31</v>
      </c>
      <c r="M11" s="3" t="s">
        <v>31</v>
      </c>
      <c r="N11" s="5">
        <v>200000</v>
      </c>
      <c r="O11" s="4" t="s">
        <v>69</v>
      </c>
      <c r="P11" s="4" t="s">
        <v>70</v>
      </c>
      <c r="Q11" s="4" t="s">
        <v>71</v>
      </c>
      <c r="R11" s="6" t="e">
        <f ca="1">TINHKHOANGCACH(Ho_So_Hoc_Sinh!$B$3, C11)</f>
        <v>#NAME?</v>
      </c>
      <c r="S11" s="7">
        <f t="shared" si="0"/>
        <v>6.84</v>
      </c>
      <c r="T11" s="7">
        <f t="shared" si="1"/>
        <v>10</v>
      </c>
      <c r="U11" s="7">
        <f>Ho_So_Hoc_Sinh!$B$8</f>
        <v>10</v>
      </c>
      <c r="V11" s="7">
        <f>IF(ISBLANK(H11), 7.5, IF(Ho_So_Hoc_Sinh!$B$4&gt;=H11+1, 10, IF(Ho_So_Hoc_Sinh!$B$4&lt;H11-1, 0, 10 - 5*(H11+1-Ho_So_Hoc_Sinh!$B$4))))</f>
        <v>0</v>
      </c>
      <c r="W11" s="7">
        <f t="shared" si="2"/>
        <v>10</v>
      </c>
      <c r="X11" s="7" t="e">
        <f t="shared" ca="1" si="3"/>
        <v>#NAME?</v>
      </c>
      <c r="Y11" s="7">
        <f>IF(Ho_So_Hoc_Sinh!$B$5=0, 10, IF(M11="Có", 10, 0))</f>
        <v>10</v>
      </c>
      <c r="Z11" s="8" t="e">
        <f t="shared" ca="1" si="4"/>
        <v>#NAME?</v>
      </c>
      <c r="AA11" s="9" t="e">
        <f t="shared" ca="1" si="5"/>
        <v>#NAME?</v>
      </c>
    </row>
    <row r="12" spans="1:27" ht="20.100000000000001" customHeight="1" x14ac:dyDescent="0.25">
      <c r="A12" s="3">
        <v>10</v>
      </c>
      <c r="B12" s="4" t="s">
        <v>72</v>
      </c>
      <c r="C12" s="4" t="s">
        <v>73</v>
      </c>
      <c r="D12" s="4" t="s">
        <v>30</v>
      </c>
      <c r="E12" s="3" t="s">
        <v>31</v>
      </c>
      <c r="F12" s="3">
        <v>10.779268999999999</v>
      </c>
      <c r="G12" s="3">
        <v>106.69451100000001</v>
      </c>
      <c r="H12" s="3">
        <v>23.75</v>
      </c>
      <c r="I12" s="3">
        <v>22.83</v>
      </c>
      <c r="J12" s="3">
        <v>560</v>
      </c>
      <c r="K12" s="3">
        <v>2.31</v>
      </c>
      <c r="L12" s="3" t="s">
        <v>31</v>
      </c>
      <c r="M12" s="3" t="s">
        <v>31</v>
      </c>
      <c r="N12" s="5">
        <v>2000000</v>
      </c>
      <c r="O12" s="4" t="s">
        <v>74</v>
      </c>
      <c r="P12" s="4" t="s">
        <v>75</v>
      </c>
      <c r="Q12" s="4" t="s">
        <v>76</v>
      </c>
      <c r="R12" s="6" t="e">
        <f ca="1">TINHKHOANGCACH(Ho_So_Hoc_Sinh!$B$3, C12)</f>
        <v>#NAME?</v>
      </c>
      <c r="S12" s="7">
        <f t="shared" si="0"/>
        <v>10</v>
      </c>
      <c r="T12" s="7">
        <f t="shared" si="1"/>
        <v>10</v>
      </c>
      <c r="U12" s="7">
        <f>Ho_So_Hoc_Sinh!$B$8</f>
        <v>10</v>
      </c>
      <c r="V12" s="7">
        <f>IF(ISBLANK(H12), 7.5, IF(Ho_So_Hoc_Sinh!$B$4&gt;=H12+1, 10, IF(Ho_So_Hoc_Sinh!$B$4&lt;H12-1, 0, 10 - 5*(H12+1-Ho_So_Hoc_Sinh!$B$4))))</f>
        <v>0</v>
      </c>
      <c r="W12" s="7">
        <f t="shared" si="2"/>
        <v>10</v>
      </c>
      <c r="X12" s="7" t="e">
        <f t="shared" ca="1" si="3"/>
        <v>#NAME?</v>
      </c>
      <c r="Y12" s="7">
        <f>IF(Ho_So_Hoc_Sinh!$B$5=0, 10, IF(M12="Có", 10, 0))</f>
        <v>10</v>
      </c>
      <c r="Z12" s="8" t="e">
        <f t="shared" ca="1" si="4"/>
        <v>#NAME?</v>
      </c>
      <c r="AA12" s="9" t="e">
        <f t="shared" ca="1" si="5"/>
        <v>#NAME?</v>
      </c>
    </row>
    <row r="13" spans="1:27" ht="20.100000000000001" customHeight="1" x14ac:dyDescent="0.25">
      <c r="A13" s="3">
        <v>11</v>
      </c>
      <c r="B13" s="4" t="s">
        <v>77</v>
      </c>
      <c r="C13" s="4" t="s">
        <v>78</v>
      </c>
      <c r="D13" s="4" t="s">
        <v>30</v>
      </c>
      <c r="E13" s="3" t="s">
        <v>31</v>
      </c>
      <c r="F13" s="3">
        <v>10.789353999999999</v>
      </c>
      <c r="G13" s="3">
        <v>106.68919200000001</v>
      </c>
      <c r="H13" s="3">
        <v>15.75</v>
      </c>
      <c r="I13" s="3">
        <v>13.83</v>
      </c>
      <c r="J13" s="3">
        <v>765</v>
      </c>
      <c r="K13" s="3">
        <v>0.38</v>
      </c>
      <c r="L13" s="3" t="s">
        <v>31</v>
      </c>
      <c r="M13" s="3" t="s">
        <v>31</v>
      </c>
      <c r="N13" s="5">
        <v>200000</v>
      </c>
      <c r="O13" s="4" t="s">
        <v>79</v>
      </c>
      <c r="P13" s="4" t="s">
        <v>37</v>
      </c>
      <c r="Q13" s="4" t="s">
        <v>80</v>
      </c>
      <c r="R13" s="6" t="e">
        <f ca="1">TINHKHOANGCACH(Ho_So_Hoc_Sinh!$B$3, C13)</f>
        <v>#NAME?</v>
      </c>
      <c r="S13" s="7">
        <f t="shared" si="0"/>
        <v>1.71</v>
      </c>
      <c r="T13" s="7">
        <f t="shared" si="1"/>
        <v>10</v>
      </c>
      <c r="U13" s="7">
        <f>Ho_So_Hoc_Sinh!$B$8</f>
        <v>10</v>
      </c>
      <c r="V13" s="7">
        <f>IF(ISBLANK(H13), 7.5, IF(Ho_So_Hoc_Sinh!$B$4&gt;=H13+1, 10, IF(Ho_So_Hoc_Sinh!$B$4&lt;H13-1, 0, 10 - 5*(H13+1-Ho_So_Hoc_Sinh!$B$4))))</f>
        <v>10</v>
      </c>
      <c r="W13" s="7">
        <f t="shared" si="2"/>
        <v>10</v>
      </c>
      <c r="X13" s="7" t="e">
        <f t="shared" ca="1" si="3"/>
        <v>#NAME?</v>
      </c>
      <c r="Y13" s="7">
        <f>IF(Ho_So_Hoc_Sinh!$B$5=0, 10, IF(M13="Có", 10, 0))</f>
        <v>10</v>
      </c>
      <c r="Z13" s="8" t="e">
        <f t="shared" ca="1" si="4"/>
        <v>#NAME?</v>
      </c>
      <c r="AA13" s="9" t="e">
        <f t="shared" ca="1" si="5"/>
        <v>#NAME?</v>
      </c>
    </row>
    <row r="14" spans="1:27" ht="20.100000000000001" customHeight="1" x14ac:dyDescent="0.25">
      <c r="A14" s="3">
        <v>12</v>
      </c>
      <c r="B14" s="4" t="s">
        <v>81</v>
      </c>
      <c r="C14" s="4" t="s">
        <v>82</v>
      </c>
      <c r="D14" s="4" t="s">
        <v>30</v>
      </c>
      <c r="E14" s="3" t="s">
        <v>31</v>
      </c>
      <c r="F14" s="3">
        <v>10.784269</v>
      </c>
      <c r="G14" s="3">
        <v>106.691299</v>
      </c>
      <c r="H14" s="3">
        <v>14.25</v>
      </c>
      <c r="I14" s="3">
        <v>13.67</v>
      </c>
      <c r="J14" s="3">
        <v>495</v>
      </c>
      <c r="K14" s="3">
        <v>0.3</v>
      </c>
      <c r="L14" s="3" t="s">
        <v>31</v>
      </c>
      <c r="M14" s="3" t="s">
        <v>31</v>
      </c>
      <c r="N14" s="5">
        <v>200000</v>
      </c>
      <c r="O14" s="4" t="s">
        <v>83</v>
      </c>
      <c r="P14" s="4" t="s">
        <v>84</v>
      </c>
      <c r="Q14" s="4" t="s">
        <v>85</v>
      </c>
      <c r="R14" s="6" t="e">
        <f ca="1">TINHKHOANGCACH(Ho_So_Hoc_Sinh!$B$3, C14)</f>
        <v>#NAME?</v>
      </c>
      <c r="S14" s="7">
        <f t="shared" si="0"/>
        <v>1.3499999999999999</v>
      </c>
      <c r="T14" s="7">
        <f t="shared" si="1"/>
        <v>10</v>
      </c>
      <c r="U14" s="7">
        <f>Ho_So_Hoc_Sinh!$B$8</f>
        <v>10</v>
      </c>
      <c r="V14" s="7">
        <f>IF(ISBLANK(H14), 7.5, IF(Ho_So_Hoc_Sinh!$B$4&gt;=H14+1, 10, IF(Ho_So_Hoc_Sinh!$B$4&lt;H14-1, 0, 10 - 5*(H14+1-Ho_So_Hoc_Sinh!$B$4))))</f>
        <v>10</v>
      </c>
      <c r="W14" s="7">
        <f t="shared" si="2"/>
        <v>10</v>
      </c>
      <c r="X14" s="7" t="e">
        <f t="shared" ca="1" si="3"/>
        <v>#NAME?</v>
      </c>
      <c r="Y14" s="7">
        <f>IF(Ho_So_Hoc_Sinh!$B$5=0, 10, IF(M14="Có", 10, 0))</f>
        <v>10</v>
      </c>
      <c r="Z14" s="8" t="e">
        <f t="shared" ca="1" si="4"/>
        <v>#NAME?</v>
      </c>
      <c r="AA14" s="9" t="e">
        <f t="shared" ca="1" si="5"/>
        <v>#NAME?</v>
      </c>
    </row>
    <row r="15" spans="1:27" ht="20.100000000000001" customHeight="1" x14ac:dyDescent="0.25">
      <c r="A15" s="3">
        <v>13</v>
      </c>
      <c r="B15" s="4" t="s">
        <v>86</v>
      </c>
      <c r="C15" s="4" t="s">
        <v>87</v>
      </c>
      <c r="D15" s="4" t="s">
        <v>30</v>
      </c>
      <c r="E15" s="3" t="s">
        <v>31</v>
      </c>
      <c r="F15" s="3">
        <v>10.757505999999999</v>
      </c>
      <c r="G15" s="3">
        <v>106.650223</v>
      </c>
      <c r="H15" s="3">
        <v>16.5</v>
      </c>
      <c r="I15" s="3">
        <v>15.25</v>
      </c>
      <c r="J15" s="3">
        <v>765</v>
      </c>
      <c r="K15" s="3">
        <v>1.1100000000000001</v>
      </c>
      <c r="L15" s="3" t="s">
        <v>31</v>
      </c>
      <c r="M15" s="3" t="s">
        <v>31</v>
      </c>
      <c r="N15" s="5">
        <v>200000</v>
      </c>
      <c r="O15" s="4" t="s">
        <v>88</v>
      </c>
      <c r="P15" s="4" t="s">
        <v>37</v>
      </c>
      <c r="Q15" s="4" t="s">
        <v>89</v>
      </c>
      <c r="R15" s="6" t="e">
        <f ca="1">TINHKHOANGCACH(Ho_So_Hoc_Sinh!$B$3, C15)</f>
        <v>#NAME?</v>
      </c>
      <c r="S15" s="7">
        <f t="shared" si="0"/>
        <v>4.9950000000000001</v>
      </c>
      <c r="T15" s="7">
        <f t="shared" si="1"/>
        <v>10</v>
      </c>
      <c r="U15" s="7">
        <f>Ho_So_Hoc_Sinh!$B$8</f>
        <v>10</v>
      </c>
      <c r="V15" s="7">
        <f>IF(ISBLANK(H15), 7.5, IF(Ho_So_Hoc_Sinh!$B$4&gt;=H15+1, 10, IF(Ho_So_Hoc_Sinh!$B$4&lt;H15-1, 0, 10 - 5*(H15+1-Ho_So_Hoc_Sinh!$B$4))))</f>
        <v>10</v>
      </c>
      <c r="W15" s="7">
        <f t="shared" si="2"/>
        <v>10</v>
      </c>
      <c r="X15" s="7" t="e">
        <f t="shared" ca="1" si="3"/>
        <v>#NAME?</v>
      </c>
      <c r="Y15" s="7">
        <f>IF(Ho_So_Hoc_Sinh!$B$5=0, 10, IF(M15="Có", 10, 0))</f>
        <v>10</v>
      </c>
      <c r="Z15" s="8" t="e">
        <f t="shared" ca="1" si="4"/>
        <v>#NAME?</v>
      </c>
      <c r="AA15" s="9" t="e">
        <f t="shared" ca="1" si="5"/>
        <v>#NAME?</v>
      </c>
    </row>
    <row r="16" spans="1:27" ht="20.100000000000001" customHeight="1" x14ac:dyDescent="0.25">
      <c r="A16" s="3">
        <v>14</v>
      </c>
      <c r="B16" s="4" t="s">
        <v>90</v>
      </c>
      <c r="C16" s="4" t="s">
        <v>91</v>
      </c>
      <c r="D16" s="4" t="s">
        <v>30</v>
      </c>
      <c r="E16" s="3" t="s">
        <v>31</v>
      </c>
      <c r="F16" s="3">
        <v>10.761426999999999</v>
      </c>
      <c r="G16" s="3">
        <v>106.650206</v>
      </c>
      <c r="H16" s="3">
        <v>19.75</v>
      </c>
      <c r="I16" s="3">
        <v>18.579999999999998</v>
      </c>
      <c r="J16" s="3">
        <v>595</v>
      </c>
      <c r="K16" s="3">
        <v>1.24</v>
      </c>
      <c r="L16" s="3" t="s">
        <v>31</v>
      </c>
      <c r="M16" s="3" t="s">
        <v>31</v>
      </c>
      <c r="N16" s="5">
        <v>1700000</v>
      </c>
      <c r="O16" s="4" t="s">
        <v>92</v>
      </c>
      <c r="P16" s="4" t="s">
        <v>93</v>
      </c>
      <c r="Q16" s="4" t="s">
        <v>94</v>
      </c>
      <c r="R16" s="6" t="e">
        <f ca="1">TINHKHOANGCACH(Ho_So_Hoc_Sinh!$B$3, C16)</f>
        <v>#NAME?</v>
      </c>
      <c r="S16" s="7">
        <f t="shared" si="0"/>
        <v>5.58</v>
      </c>
      <c r="T16" s="7">
        <f t="shared" si="1"/>
        <v>10</v>
      </c>
      <c r="U16" s="7">
        <f>Ho_So_Hoc_Sinh!$B$8</f>
        <v>10</v>
      </c>
      <c r="V16" s="7">
        <f>IF(ISBLANK(H16), 7.5, IF(Ho_So_Hoc_Sinh!$B$4&gt;=H16+1, 10, IF(Ho_So_Hoc_Sinh!$B$4&lt;H16-1, 0, 10 - 5*(H16+1-Ho_So_Hoc_Sinh!$B$4))))</f>
        <v>10</v>
      </c>
      <c r="W16" s="7">
        <f t="shared" si="2"/>
        <v>10</v>
      </c>
      <c r="X16" s="7" t="e">
        <f t="shared" ca="1" si="3"/>
        <v>#NAME?</v>
      </c>
      <c r="Y16" s="7">
        <f>IF(Ho_So_Hoc_Sinh!$B$5=0, 10, IF(M16="Có", 10, 0))</f>
        <v>10</v>
      </c>
      <c r="Z16" s="8" t="e">
        <f t="shared" ca="1" si="4"/>
        <v>#NAME?</v>
      </c>
      <c r="AA16" s="9" t="e">
        <f t="shared" ca="1" si="5"/>
        <v>#NAME?</v>
      </c>
    </row>
    <row r="17" spans="1:27" ht="20.100000000000001" customHeight="1" x14ac:dyDescent="0.25">
      <c r="A17" s="3">
        <v>15</v>
      </c>
      <c r="B17" s="4" t="s">
        <v>95</v>
      </c>
      <c r="C17" s="4" t="s">
        <v>96</v>
      </c>
      <c r="D17" s="4" t="s">
        <v>54</v>
      </c>
      <c r="E17" s="3" t="s">
        <v>31</v>
      </c>
      <c r="F17" s="3">
        <v>10.761208</v>
      </c>
      <c r="G17" s="3">
        <v>106.647147</v>
      </c>
      <c r="H17" s="3"/>
      <c r="I17" s="3"/>
      <c r="J17" s="3"/>
      <c r="K17" s="3"/>
      <c r="L17" s="3" t="s">
        <v>31</v>
      </c>
      <c r="M17" s="3" t="s">
        <v>31</v>
      </c>
      <c r="N17" s="5">
        <v>3200000</v>
      </c>
      <c r="O17" s="4" t="s">
        <v>55</v>
      </c>
      <c r="P17" s="4" t="s">
        <v>37</v>
      </c>
      <c r="Q17" s="4" t="s">
        <v>97</v>
      </c>
      <c r="R17" s="6" t="e">
        <f ca="1">TINHKHOANGCACH(Ho_So_Hoc_Sinh!$B$3, C17)</f>
        <v>#NAME?</v>
      </c>
      <c r="S17" s="7">
        <f t="shared" si="0"/>
        <v>7</v>
      </c>
      <c r="T17" s="7">
        <f t="shared" si="1"/>
        <v>10</v>
      </c>
      <c r="U17" s="7">
        <f>Ho_So_Hoc_Sinh!$B$8</f>
        <v>10</v>
      </c>
      <c r="V17" s="7">
        <f>IF(ISBLANK(H17), 7.5, IF(Ho_So_Hoc_Sinh!$B$4&gt;=H17+1, 10, IF(Ho_So_Hoc_Sinh!$B$4&lt;H17-1, 0, 10 - 5*(H17+1-Ho_So_Hoc_Sinh!$B$4))))</f>
        <v>7.5</v>
      </c>
      <c r="W17" s="7">
        <f t="shared" si="2"/>
        <v>5</v>
      </c>
      <c r="X17" s="7" t="e">
        <f t="shared" ca="1" si="3"/>
        <v>#NAME?</v>
      </c>
      <c r="Y17" s="7">
        <f>IF(Ho_So_Hoc_Sinh!$B$5=0, 10, IF(M17="Có", 10, 0))</f>
        <v>10</v>
      </c>
      <c r="Z17" s="8" t="e">
        <f t="shared" ca="1" si="4"/>
        <v>#NAME?</v>
      </c>
      <c r="AA17" s="9" t="e">
        <f t="shared" ca="1" si="5"/>
        <v>#NAME?</v>
      </c>
    </row>
    <row r="18" spans="1:27" ht="20.100000000000001" customHeight="1" x14ac:dyDescent="0.25">
      <c r="A18" s="3">
        <v>16</v>
      </c>
      <c r="B18" s="4" t="s">
        <v>98</v>
      </c>
      <c r="C18" s="4" t="s">
        <v>99</v>
      </c>
      <c r="D18" s="4" t="s">
        <v>30</v>
      </c>
      <c r="E18" s="3" t="s">
        <v>31</v>
      </c>
      <c r="F18" s="3">
        <v>10.769944000000001</v>
      </c>
      <c r="G18" s="3">
        <v>106.642572</v>
      </c>
      <c r="H18" s="3">
        <v>17.75</v>
      </c>
      <c r="I18" s="3">
        <v>16.829999999999998</v>
      </c>
      <c r="J18" s="3">
        <v>990</v>
      </c>
      <c r="K18" s="3">
        <v>1.04</v>
      </c>
      <c r="L18" s="3" t="s">
        <v>31</v>
      </c>
      <c r="M18" s="3" t="s">
        <v>31</v>
      </c>
      <c r="N18" s="5">
        <v>200000</v>
      </c>
      <c r="O18" s="4" t="s">
        <v>55</v>
      </c>
      <c r="P18" s="4" t="s">
        <v>37</v>
      </c>
      <c r="Q18" s="4" t="s">
        <v>100</v>
      </c>
      <c r="R18" s="6" t="e">
        <f ca="1">TINHKHOANGCACH(Ho_So_Hoc_Sinh!$B$3, C18)</f>
        <v>#NAME?</v>
      </c>
      <c r="S18" s="7">
        <f t="shared" si="0"/>
        <v>4.68</v>
      </c>
      <c r="T18" s="7">
        <f t="shared" si="1"/>
        <v>10</v>
      </c>
      <c r="U18" s="7">
        <f>Ho_So_Hoc_Sinh!$B$8</f>
        <v>10</v>
      </c>
      <c r="V18" s="7">
        <f>IF(ISBLANK(H18), 7.5, IF(Ho_So_Hoc_Sinh!$B$4&gt;=H18+1, 10, IF(Ho_So_Hoc_Sinh!$B$4&lt;H18-1, 0, 10 - 5*(H18+1-Ho_So_Hoc_Sinh!$B$4))))</f>
        <v>10</v>
      </c>
      <c r="W18" s="7">
        <f t="shared" si="2"/>
        <v>10</v>
      </c>
      <c r="X18" s="7" t="e">
        <f t="shared" ca="1" si="3"/>
        <v>#NAME?</v>
      </c>
      <c r="Y18" s="7">
        <f>IF(Ho_So_Hoc_Sinh!$B$5=0, 10, IF(M18="Có", 10, 0))</f>
        <v>10</v>
      </c>
      <c r="Z18" s="8" t="e">
        <f t="shared" ca="1" si="4"/>
        <v>#NAME?</v>
      </c>
      <c r="AA18" s="9" t="e">
        <f t="shared" ca="1" si="5"/>
        <v>#NAME?</v>
      </c>
    </row>
    <row r="19" spans="1:27" ht="20.100000000000001" customHeight="1" x14ac:dyDescent="0.25">
      <c r="A19" s="3">
        <v>17</v>
      </c>
      <c r="B19" s="4" t="s">
        <v>101</v>
      </c>
      <c r="C19" s="4" t="s">
        <v>102</v>
      </c>
      <c r="D19" s="4" t="s">
        <v>30</v>
      </c>
      <c r="E19" s="3" t="s">
        <v>31</v>
      </c>
      <c r="F19" s="3">
        <v>10.762793</v>
      </c>
      <c r="G19" s="3">
        <v>106.680908</v>
      </c>
      <c r="H19" s="3">
        <v>24.5</v>
      </c>
      <c r="I19" s="3">
        <v>23.5</v>
      </c>
      <c r="J19" s="3">
        <v>280</v>
      </c>
      <c r="K19" s="3">
        <v>2.31</v>
      </c>
      <c r="L19" s="3" t="s">
        <v>31</v>
      </c>
      <c r="M19" s="3" t="s">
        <v>31</v>
      </c>
      <c r="N19" s="5">
        <v>1800000</v>
      </c>
      <c r="O19" s="4" t="s">
        <v>103</v>
      </c>
      <c r="P19" s="4" t="s">
        <v>37</v>
      </c>
      <c r="Q19" s="4" t="s">
        <v>104</v>
      </c>
      <c r="R19" s="6" t="e">
        <f ca="1">TINHKHOANGCACH(Ho_So_Hoc_Sinh!$B$3, C19)</f>
        <v>#NAME?</v>
      </c>
      <c r="S19" s="7">
        <f t="shared" si="0"/>
        <v>10</v>
      </c>
      <c r="T19" s="7">
        <f t="shared" si="1"/>
        <v>10</v>
      </c>
      <c r="U19" s="7">
        <f>Ho_So_Hoc_Sinh!$B$8</f>
        <v>10</v>
      </c>
      <c r="V19" s="7">
        <f>IF(ISBLANK(H19), 7.5, IF(Ho_So_Hoc_Sinh!$B$4&gt;=H19+1, 10, IF(Ho_So_Hoc_Sinh!$B$4&lt;H19-1, 0, 10 - 5*(H19+1-Ho_So_Hoc_Sinh!$B$4))))</f>
        <v>0</v>
      </c>
      <c r="W19" s="7">
        <f t="shared" si="2"/>
        <v>10</v>
      </c>
      <c r="X19" s="7" t="e">
        <f t="shared" ca="1" si="3"/>
        <v>#NAME?</v>
      </c>
      <c r="Y19" s="7">
        <f>IF(Ho_So_Hoc_Sinh!$B$5=0, 10, IF(M19="Có", 10, 0))</f>
        <v>10</v>
      </c>
      <c r="Z19" s="8" t="e">
        <f t="shared" ca="1" si="4"/>
        <v>#NAME?</v>
      </c>
      <c r="AA19" s="9" t="e">
        <f t="shared" ca="1" si="5"/>
        <v>#NAME?</v>
      </c>
    </row>
    <row r="20" spans="1:27" ht="20.100000000000001" customHeight="1" x14ac:dyDescent="0.25">
      <c r="A20" s="3">
        <v>18</v>
      </c>
      <c r="B20" s="4" t="s">
        <v>105</v>
      </c>
      <c r="C20" s="4" t="s">
        <v>106</v>
      </c>
      <c r="D20" s="4" t="s">
        <v>30</v>
      </c>
      <c r="E20" s="3" t="s">
        <v>31</v>
      </c>
      <c r="F20" s="3">
        <v>10.76098</v>
      </c>
      <c r="G20" s="3">
        <v>106.67986000000001</v>
      </c>
      <c r="H20" s="3">
        <v>23.5</v>
      </c>
      <c r="I20" s="3">
        <v>22</v>
      </c>
      <c r="J20" s="3">
        <v>175</v>
      </c>
      <c r="K20" s="3">
        <v>2</v>
      </c>
      <c r="L20" s="3" t="s">
        <v>31</v>
      </c>
      <c r="M20" s="3" t="s">
        <v>31</v>
      </c>
      <c r="N20" s="5">
        <v>200000</v>
      </c>
      <c r="O20" s="4" t="s">
        <v>107</v>
      </c>
      <c r="P20" s="4" t="s">
        <v>108</v>
      </c>
      <c r="Q20" s="4" t="s">
        <v>109</v>
      </c>
      <c r="R20" s="6" t="e">
        <f ca="1">TINHKHOANGCACH(Ho_So_Hoc_Sinh!$B$3, C20)</f>
        <v>#NAME?</v>
      </c>
      <c r="S20" s="7">
        <f t="shared" si="0"/>
        <v>9</v>
      </c>
      <c r="T20" s="7">
        <f t="shared" si="1"/>
        <v>10</v>
      </c>
      <c r="U20" s="7">
        <f>Ho_So_Hoc_Sinh!$B$8</f>
        <v>10</v>
      </c>
      <c r="V20" s="7">
        <f>IF(ISBLANK(H20), 7.5, IF(Ho_So_Hoc_Sinh!$B$4&gt;=H20+1, 10, IF(Ho_So_Hoc_Sinh!$B$4&lt;H20-1, 0, 10 - 5*(H20+1-Ho_So_Hoc_Sinh!$B$4))))</f>
        <v>0</v>
      </c>
      <c r="W20" s="7">
        <f t="shared" si="2"/>
        <v>10</v>
      </c>
      <c r="X20" s="7" t="e">
        <f t="shared" ca="1" si="3"/>
        <v>#NAME?</v>
      </c>
      <c r="Y20" s="7">
        <f>IF(Ho_So_Hoc_Sinh!$B$5=0, 10, IF(M20="Có", 10, 0))</f>
        <v>10</v>
      </c>
      <c r="Z20" s="8" t="e">
        <f t="shared" ca="1" si="4"/>
        <v>#NAME?</v>
      </c>
      <c r="AA20" s="9" t="e">
        <f t="shared" ca="1" si="5"/>
        <v>#NAME?</v>
      </c>
    </row>
    <row r="21" spans="1:27" ht="20.100000000000001" customHeight="1" x14ac:dyDescent="0.25">
      <c r="A21" s="3">
        <v>19</v>
      </c>
      <c r="B21" s="4" t="s">
        <v>110</v>
      </c>
      <c r="C21" s="4" t="s">
        <v>111</v>
      </c>
      <c r="D21" s="4" t="s">
        <v>30</v>
      </c>
      <c r="E21" s="3" t="s">
        <v>31</v>
      </c>
      <c r="F21" s="3">
        <v>10.755986</v>
      </c>
      <c r="G21" s="3">
        <v>106.66371100000001</v>
      </c>
      <c r="H21" s="3">
        <v>21</v>
      </c>
      <c r="I21" s="3">
        <v>19</v>
      </c>
      <c r="J21" s="3">
        <v>1035</v>
      </c>
      <c r="K21" s="3">
        <v>1.66</v>
      </c>
      <c r="L21" s="3" t="s">
        <v>31</v>
      </c>
      <c r="M21" s="3" t="s">
        <v>31</v>
      </c>
      <c r="N21" s="5">
        <v>200000</v>
      </c>
      <c r="O21" s="4" t="s">
        <v>112</v>
      </c>
      <c r="P21" s="4" t="s">
        <v>37</v>
      </c>
      <c r="Q21" s="4" t="s">
        <v>113</v>
      </c>
      <c r="R21" s="6" t="e">
        <f ca="1">TINHKHOANGCACH(Ho_So_Hoc_Sinh!$B$3, C21)</f>
        <v>#NAME?</v>
      </c>
      <c r="S21" s="7">
        <f t="shared" si="0"/>
        <v>7.47</v>
      </c>
      <c r="T21" s="7">
        <f t="shared" si="1"/>
        <v>10</v>
      </c>
      <c r="U21" s="7">
        <f>Ho_So_Hoc_Sinh!$B$8</f>
        <v>10</v>
      </c>
      <c r="V21" s="7">
        <f>IF(ISBLANK(H21), 7.5, IF(Ho_So_Hoc_Sinh!$B$4&gt;=H21+1, 10, IF(Ho_So_Hoc_Sinh!$B$4&lt;H21-1, 0, 10 - 5*(H21+1-Ho_So_Hoc_Sinh!$B$4))))</f>
        <v>5</v>
      </c>
      <c r="W21" s="7">
        <f t="shared" si="2"/>
        <v>10</v>
      </c>
      <c r="X21" s="7" t="e">
        <f t="shared" ca="1" si="3"/>
        <v>#NAME?</v>
      </c>
      <c r="Y21" s="7">
        <f>IF(Ho_So_Hoc_Sinh!$B$5=0, 10, IF(M21="Có", 10, 0))</f>
        <v>10</v>
      </c>
      <c r="Z21" s="8" t="e">
        <f t="shared" ca="1" si="4"/>
        <v>#NAME?</v>
      </c>
      <c r="AA21" s="9" t="e">
        <f t="shared" ca="1" si="5"/>
        <v>#NAME?</v>
      </c>
    </row>
    <row r="22" spans="1:27" ht="20.100000000000001" customHeight="1" x14ac:dyDescent="0.25">
      <c r="A22" s="3">
        <v>20</v>
      </c>
      <c r="B22" s="4" t="s">
        <v>114</v>
      </c>
      <c r="C22" s="4" t="s">
        <v>115</v>
      </c>
      <c r="D22" s="4" t="s">
        <v>30</v>
      </c>
      <c r="E22" s="3" t="s">
        <v>31</v>
      </c>
      <c r="F22" s="3">
        <v>10.75787</v>
      </c>
      <c r="G22" s="3">
        <v>106.668886</v>
      </c>
      <c r="H22" s="3">
        <v>23</v>
      </c>
      <c r="I22" s="3">
        <v>21.25</v>
      </c>
      <c r="J22" s="3">
        <v>720</v>
      </c>
      <c r="K22" s="3">
        <v>2.02</v>
      </c>
      <c r="L22" s="3" t="s">
        <v>31</v>
      </c>
      <c r="M22" s="3" t="s">
        <v>31</v>
      </c>
      <c r="N22" s="5">
        <v>200000</v>
      </c>
      <c r="O22" s="4" t="s">
        <v>116</v>
      </c>
      <c r="P22" s="4" t="s">
        <v>37</v>
      </c>
      <c r="Q22" s="4" t="s">
        <v>117</v>
      </c>
      <c r="R22" s="6" t="e">
        <f ca="1">TINHKHOANGCACH(Ho_So_Hoc_Sinh!$B$3, C22)</f>
        <v>#NAME?</v>
      </c>
      <c r="S22" s="7">
        <f t="shared" si="0"/>
        <v>9.09</v>
      </c>
      <c r="T22" s="7">
        <f t="shared" si="1"/>
        <v>10</v>
      </c>
      <c r="U22" s="7">
        <f>Ho_So_Hoc_Sinh!$B$8</f>
        <v>10</v>
      </c>
      <c r="V22" s="7">
        <f>IF(ISBLANK(H22), 7.5, IF(Ho_So_Hoc_Sinh!$B$4&gt;=H22+1, 10, IF(Ho_So_Hoc_Sinh!$B$4&lt;H22-1, 0, 10 - 5*(H22+1-Ho_So_Hoc_Sinh!$B$4))))</f>
        <v>0</v>
      </c>
      <c r="W22" s="7">
        <f t="shared" si="2"/>
        <v>10</v>
      </c>
      <c r="X22" s="7" t="e">
        <f t="shared" ca="1" si="3"/>
        <v>#NAME?</v>
      </c>
      <c r="Y22" s="7">
        <f>IF(Ho_So_Hoc_Sinh!$B$5=0, 10, IF(M22="Có", 10, 0))</f>
        <v>10</v>
      </c>
      <c r="Z22" s="8" t="e">
        <f t="shared" ca="1" si="4"/>
        <v>#NAME?</v>
      </c>
      <c r="AA22" s="9" t="e">
        <f t="shared" ca="1" si="5"/>
        <v>#NAME?</v>
      </c>
    </row>
    <row r="23" spans="1:27" ht="20.100000000000001" customHeight="1" x14ac:dyDescent="0.25">
      <c r="A23" s="3">
        <v>21</v>
      </c>
      <c r="B23" s="4" t="s">
        <v>118</v>
      </c>
      <c r="C23" s="4" t="s">
        <v>119</v>
      </c>
      <c r="D23" s="4" t="s">
        <v>30</v>
      </c>
      <c r="E23" s="3" t="s">
        <v>31</v>
      </c>
      <c r="F23" s="3">
        <v>10.759712</v>
      </c>
      <c r="G23" s="3">
        <v>106.712076</v>
      </c>
      <c r="H23" s="3">
        <v>15.25</v>
      </c>
      <c r="I23" s="3">
        <v>13.42</v>
      </c>
      <c r="J23" s="3">
        <v>675</v>
      </c>
      <c r="K23" s="3">
        <v>0.62</v>
      </c>
      <c r="L23" s="3" t="s">
        <v>31</v>
      </c>
      <c r="M23" s="3" t="s">
        <v>31</v>
      </c>
      <c r="N23" s="5">
        <v>200000</v>
      </c>
      <c r="O23" s="4" t="s">
        <v>120</v>
      </c>
      <c r="P23" s="4" t="s">
        <v>37</v>
      </c>
      <c r="Q23" s="4" t="s">
        <v>121</v>
      </c>
      <c r="R23" s="6" t="e">
        <f ca="1">TINHKHOANGCACH(Ho_So_Hoc_Sinh!$B$3, C23)</f>
        <v>#NAME?</v>
      </c>
      <c r="S23" s="7">
        <f t="shared" si="0"/>
        <v>2.79</v>
      </c>
      <c r="T23" s="7">
        <f t="shared" si="1"/>
        <v>10</v>
      </c>
      <c r="U23" s="7">
        <f>Ho_So_Hoc_Sinh!$B$8</f>
        <v>10</v>
      </c>
      <c r="V23" s="7">
        <f>IF(ISBLANK(H23), 7.5, IF(Ho_So_Hoc_Sinh!$B$4&gt;=H23+1, 10, IF(Ho_So_Hoc_Sinh!$B$4&lt;H23-1, 0, 10 - 5*(H23+1-Ho_So_Hoc_Sinh!$B$4))))</f>
        <v>10</v>
      </c>
      <c r="W23" s="7">
        <f t="shared" si="2"/>
        <v>10</v>
      </c>
      <c r="X23" s="7" t="e">
        <f t="shared" ca="1" si="3"/>
        <v>#NAME?</v>
      </c>
      <c r="Y23" s="7">
        <f>IF(Ho_So_Hoc_Sinh!$B$5=0, 10, IF(M23="Có", 10, 0))</f>
        <v>10</v>
      </c>
      <c r="Z23" s="8" t="e">
        <f t="shared" ca="1" si="4"/>
        <v>#NAME?</v>
      </c>
      <c r="AA23" s="9" t="e">
        <f t="shared" ca="1" si="5"/>
        <v>#NAME?</v>
      </c>
    </row>
    <row r="24" spans="1:27" ht="20.100000000000001" customHeight="1" x14ac:dyDescent="0.25">
      <c r="A24" s="3">
        <v>22</v>
      </c>
      <c r="B24" s="4" t="s">
        <v>122</v>
      </c>
      <c r="C24" s="4" t="s">
        <v>123</v>
      </c>
      <c r="D24" s="4" t="s">
        <v>30</v>
      </c>
      <c r="E24" s="3" t="s">
        <v>31</v>
      </c>
      <c r="F24" s="3">
        <v>10.752478</v>
      </c>
      <c r="G24" s="3">
        <v>106.66319</v>
      </c>
      <c r="H24" s="3">
        <v>14</v>
      </c>
      <c r="I24" s="3">
        <v>13.42</v>
      </c>
      <c r="J24" s="3">
        <v>540</v>
      </c>
      <c r="K24" s="3">
        <v>0.28999999999999998</v>
      </c>
      <c r="L24" s="3" t="s">
        <v>31</v>
      </c>
      <c r="M24" s="3" t="s">
        <v>31</v>
      </c>
      <c r="N24" s="5">
        <v>200000</v>
      </c>
      <c r="O24" s="4" t="s">
        <v>124</v>
      </c>
      <c r="P24" s="4" t="s">
        <v>37</v>
      </c>
      <c r="Q24" s="4" t="s">
        <v>125</v>
      </c>
      <c r="R24" s="6" t="e">
        <f ca="1">TINHKHOANGCACH(Ho_So_Hoc_Sinh!$B$3, C24)</f>
        <v>#NAME?</v>
      </c>
      <c r="S24" s="7">
        <f t="shared" si="0"/>
        <v>1.3049999999999999</v>
      </c>
      <c r="T24" s="7">
        <f t="shared" si="1"/>
        <v>10</v>
      </c>
      <c r="U24" s="7">
        <f>Ho_So_Hoc_Sinh!$B$8</f>
        <v>10</v>
      </c>
      <c r="V24" s="7">
        <f>IF(ISBLANK(H24), 7.5, IF(Ho_So_Hoc_Sinh!$B$4&gt;=H24+1, 10, IF(Ho_So_Hoc_Sinh!$B$4&lt;H24-1, 0, 10 - 5*(H24+1-Ho_So_Hoc_Sinh!$B$4))))</f>
        <v>10</v>
      </c>
      <c r="W24" s="7">
        <f t="shared" si="2"/>
        <v>10</v>
      </c>
      <c r="X24" s="7" t="e">
        <f t="shared" ca="1" si="3"/>
        <v>#NAME?</v>
      </c>
      <c r="Y24" s="7">
        <f>IF(Ho_So_Hoc_Sinh!$B$5=0, 10, IF(M24="Có", 10, 0))</f>
        <v>10</v>
      </c>
      <c r="Z24" s="8" t="e">
        <f t="shared" ca="1" si="4"/>
        <v>#NAME?</v>
      </c>
      <c r="AA24" s="9" t="e">
        <f t="shared" ca="1" si="5"/>
        <v>#NAME?</v>
      </c>
    </row>
    <row r="25" spans="1:27" ht="20.100000000000001" customHeight="1" x14ac:dyDescent="0.25">
      <c r="A25" s="3">
        <v>23</v>
      </c>
      <c r="B25" s="4" t="s">
        <v>126</v>
      </c>
      <c r="C25" s="4" t="s">
        <v>127</v>
      </c>
      <c r="D25" s="4" t="s">
        <v>30</v>
      </c>
      <c r="E25" s="3" t="s">
        <v>31</v>
      </c>
      <c r="F25" s="3">
        <v>10.793517</v>
      </c>
      <c r="G25" s="3">
        <v>106.65475499999999</v>
      </c>
      <c r="H25" s="3">
        <v>24.75</v>
      </c>
      <c r="I25" s="3">
        <v>24.17</v>
      </c>
      <c r="J25" s="3">
        <v>780</v>
      </c>
      <c r="K25" s="3">
        <v>2.5099999999999998</v>
      </c>
      <c r="L25" s="3" t="s">
        <v>31</v>
      </c>
      <c r="M25" s="3" t="s">
        <v>31</v>
      </c>
      <c r="N25" s="5">
        <v>200000</v>
      </c>
      <c r="O25" s="4" t="s">
        <v>128</v>
      </c>
      <c r="P25" s="4" t="s">
        <v>129</v>
      </c>
      <c r="Q25" s="4" t="s">
        <v>130</v>
      </c>
      <c r="R25" s="6" t="e">
        <f ca="1">TINHKHOANGCACH(Ho_So_Hoc_Sinh!$B$3, C25)</f>
        <v>#NAME?</v>
      </c>
      <c r="S25" s="7">
        <f t="shared" si="0"/>
        <v>10</v>
      </c>
      <c r="T25" s="7">
        <f t="shared" si="1"/>
        <v>10</v>
      </c>
      <c r="U25" s="7">
        <f>Ho_So_Hoc_Sinh!$B$8</f>
        <v>10</v>
      </c>
      <c r="V25" s="7">
        <f>IF(ISBLANK(H25), 7.5, IF(Ho_So_Hoc_Sinh!$B$4&gt;=H25+1, 10, IF(Ho_So_Hoc_Sinh!$B$4&lt;H25-1, 0, 10 - 5*(H25+1-Ho_So_Hoc_Sinh!$B$4))))</f>
        <v>0</v>
      </c>
      <c r="W25" s="7">
        <f t="shared" si="2"/>
        <v>10</v>
      </c>
      <c r="X25" s="7" t="e">
        <f t="shared" ca="1" si="3"/>
        <v>#NAME?</v>
      </c>
      <c r="Y25" s="7">
        <f>IF(Ho_So_Hoc_Sinh!$B$5=0, 10, IF(M25="Có", 10, 0))</f>
        <v>10</v>
      </c>
      <c r="Z25" s="8" t="e">
        <f t="shared" ca="1" si="4"/>
        <v>#NAME?</v>
      </c>
      <c r="AA25" s="9" t="e">
        <f t="shared" ca="1" si="5"/>
        <v>#NAME?</v>
      </c>
    </row>
    <row r="26" spans="1:27" ht="20.100000000000001" customHeight="1" x14ac:dyDescent="0.25">
      <c r="A26" s="3">
        <v>24</v>
      </c>
      <c r="B26" s="4" t="s">
        <v>131</v>
      </c>
      <c r="C26" s="4" t="s">
        <v>132</v>
      </c>
      <c r="D26" s="4" t="s">
        <v>30</v>
      </c>
      <c r="E26" s="3" t="s">
        <v>31</v>
      </c>
      <c r="F26" s="3">
        <v>10.79874</v>
      </c>
      <c r="G26" s="3">
        <v>106.62825100000001</v>
      </c>
      <c r="H26" s="3">
        <v>21.5</v>
      </c>
      <c r="I26" s="3">
        <v>20.25</v>
      </c>
      <c r="J26" s="3">
        <v>855</v>
      </c>
      <c r="K26" s="3">
        <v>1.19</v>
      </c>
      <c r="L26" s="3" t="s">
        <v>31</v>
      </c>
      <c r="M26" s="3" t="s">
        <v>31</v>
      </c>
      <c r="N26" s="5">
        <v>200000</v>
      </c>
      <c r="O26" s="4" t="s">
        <v>133</v>
      </c>
      <c r="P26" s="4" t="s">
        <v>37</v>
      </c>
      <c r="Q26" s="4" t="s">
        <v>134</v>
      </c>
      <c r="R26" s="6" t="e">
        <f ca="1">TINHKHOANGCACH(Ho_So_Hoc_Sinh!$B$3, C26)</f>
        <v>#NAME?</v>
      </c>
      <c r="S26" s="7">
        <f t="shared" si="0"/>
        <v>5.3549999999999995</v>
      </c>
      <c r="T26" s="7">
        <f t="shared" si="1"/>
        <v>10</v>
      </c>
      <c r="U26" s="7">
        <f>Ho_So_Hoc_Sinh!$B$8</f>
        <v>10</v>
      </c>
      <c r="V26" s="7">
        <f>IF(ISBLANK(H26), 7.5, IF(Ho_So_Hoc_Sinh!$B$4&gt;=H26+1, 10, IF(Ho_So_Hoc_Sinh!$B$4&lt;H26-1, 0, 10 - 5*(H26+1-Ho_So_Hoc_Sinh!$B$4))))</f>
        <v>2.5</v>
      </c>
      <c r="W26" s="7">
        <f t="shared" si="2"/>
        <v>10</v>
      </c>
      <c r="X26" s="7" t="e">
        <f t="shared" ca="1" si="3"/>
        <v>#NAME?</v>
      </c>
      <c r="Y26" s="7">
        <f>IF(Ho_So_Hoc_Sinh!$B$5=0, 10, IF(M26="Có", 10, 0))</f>
        <v>10</v>
      </c>
      <c r="Z26" s="8" t="e">
        <f t="shared" ca="1" si="4"/>
        <v>#NAME?</v>
      </c>
      <c r="AA26" s="9" t="e">
        <f t="shared" ca="1" si="5"/>
        <v>#NAME?</v>
      </c>
    </row>
    <row r="27" spans="1:27" ht="20.100000000000001" customHeight="1" x14ac:dyDescent="0.25">
      <c r="A27" s="3">
        <v>25</v>
      </c>
      <c r="B27" s="4" t="s">
        <v>135</v>
      </c>
      <c r="C27" s="4" t="s">
        <v>136</v>
      </c>
      <c r="D27" s="4" t="s">
        <v>30</v>
      </c>
      <c r="E27" s="3" t="s">
        <v>31</v>
      </c>
      <c r="F27" s="3">
        <v>10.8063</v>
      </c>
      <c r="G27" s="3">
        <v>106.646112</v>
      </c>
      <c r="H27" s="3">
        <v>20.25</v>
      </c>
      <c r="I27" s="3">
        <v>18.829999999999998</v>
      </c>
      <c r="J27" s="3">
        <v>810</v>
      </c>
      <c r="K27" s="3">
        <v>1.03</v>
      </c>
      <c r="L27" s="3" t="s">
        <v>31</v>
      </c>
      <c r="M27" s="3" t="s">
        <v>31</v>
      </c>
      <c r="N27" s="5">
        <v>200000</v>
      </c>
      <c r="O27" s="4" t="s">
        <v>137</v>
      </c>
      <c r="P27" s="4" t="s">
        <v>37</v>
      </c>
      <c r="Q27" s="4" t="s">
        <v>138</v>
      </c>
      <c r="R27" s="6" t="e">
        <f ca="1">TINHKHOANGCACH(Ho_So_Hoc_Sinh!$B$3, C27)</f>
        <v>#NAME?</v>
      </c>
      <c r="S27" s="7">
        <f t="shared" si="0"/>
        <v>4.6349999999999998</v>
      </c>
      <c r="T27" s="7">
        <f t="shared" si="1"/>
        <v>10</v>
      </c>
      <c r="U27" s="7">
        <f>Ho_So_Hoc_Sinh!$B$8</f>
        <v>10</v>
      </c>
      <c r="V27" s="7">
        <f>IF(ISBLANK(H27), 7.5, IF(Ho_So_Hoc_Sinh!$B$4&gt;=H27+1, 10, IF(Ho_So_Hoc_Sinh!$B$4&lt;H27-1, 0, 10 - 5*(H27+1-Ho_So_Hoc_Sinh!$B$4))))</f>
        <v>8.75</v>
      </c>
      <c r="W27" s="7">
        <f t="shared" si="2"/>
        <v>10</v>
      </c>
      <c r="X27" s="7" t="e">
        <f t="shared" ca="1" si="3"/>
        <v>#NAME?</v>
      </c>
      <c r="Y27" s="7">
        <f>IF(Ho_So_Hoc_Sinh!$B$5=0, 10, IF(M27="Có", 10, 0))</f>
        <v>10</v>
      </c>
      <c r="Z27" s="8" t="e">
        <f t="shared" ca="1" si="4"/>
        <v>#NAME?</v>
      </c>
      <c r="AA27" s="9" t="e">
        <f t="shared" ca="1" si="5"/>
        <v>#NAME?</v>
      </c>
    </row>
    <row r="28" spans="1:27" ht="20.100000000000001" customHeight="1" x14ac:dyDescent="0.25">
      <c r="A28" s="3">
        <v>26</v>
      </c>
      <c r="B28" s="4" t="s">
        <v>139</v>
      </c>
      <c r="C28" s="4" t="s">
        <v>140</v>
      </c>
      <c r="D28" s="4" t="s">
        <v>30</v>
      </c>
      <c r="E28" s="3" t="s">
        <v>31</v>
      </c>
      <c r="F28" s="3">
        <v>10.804181</v>
      </c>
      <c r="G28" s="3">
        <v>106.692802</v>
      </c>
      <c r="H28" s="3">
        <v>20.75</v>
      </c>
      <c r="I28" s="3">
        <v>18.579999999999998</v>
      </c>
      <c r="J28" s="3">
        <v>855</v>
      </c>
      <c r="K28" s="3">
        <v>1.58</v>
      </c>
      <c r="L28" s="3" t="s">
        <v>31</v>
      </c>
      <c r="M28" s="3" t="s">
        <v>31</v>
      </c>
      <c r="N28" s="5">
        <v>200000</v>
      </c>
      <c r="O28" s="4" t="s">
        <v>141</v>
      </c>
      <c r="P28" s="4" t="s">
        <v>37</v>
      </c>
      <c r="Q28" s="4" t="s">
        <v>142</v>
      </c>
      <c r="R28" s="6" t="e">
        <f ca="1">TINHKHOANGCACH(Ho_So_Hoc_Sinh!$B$3, C28)</f>
        <v>#NAME?</v>
      </c>
      <c r="S28" s="7">
        <f t="shared" si="0"/>
        <v>7.11</v>
      </c>
      <c r="T28" s="7">
        <f t="shared" si="1"/>
        <v>10</v>
      </c>
      <c r="U28" s="7">
        <f>Ho_So_Hoc_Sinh!$B$8</f>
        <v>10</v>
      </c>
      <c r="V28" s="7">
        <f>IF(ISBLANK(H28), 7.5, IF(Ho_So_Hoc_Sinh!$B$4&gt;=H28+1, 10, IF(Ho_So_Hoc_Sinh!$B$4&lt;H28-1, 0, 10 - 5*(H28+1-Ho_So_Hoc_Sinh!$B$4))))</f>
        <v>6.25</v>
      </c>
      <c r="W28" s="7">
        <f t="shared" si="2"/>
        <v>10</v>
      </c>
      <c r="X28" s="7" t="e">
        <f t="shared" ca="1" si="3"/>
        <v>#NAME?</v>
      </c>
      <c r="Y28" s="7">
        <f>IF(Ho_So_Hoc_Sinh!$B$5=0, 10, IF(M28="Có", 10, 0))</f>
        <v>10</v>
      </c>
      <c r="Z28" s="8" t="e">
        <f t="shared" ca="1" si="4"/>
        <v>#NAME?</v>
      </c>
      <c r="AA28" s="9" t="e">
        <f t="shared" ca="1" si="5"/>
        <v>#NAME?</v>
      </c>
    </row>
    <row r="29" spans="1:27" ht="20.100000000000001" customHeight="1" x14ac:dyDescent="0.25">
      <c r="A29" s="3">
        <v>27</v>
      </c>
      <c r="B29" s="4" t="s">
        <v>143</v>
      </c>
      <c r="C29" s="4" t="s">
        <v>144</v>
      </c>
      <c r="D29" s="4" t="s">
        <v>54</v>
      </c>
      <c r="E29" s="3" t="s">
        <v>31</v>
      </c>
      <c r="F29" s="3">
        <v>10.774977</v>
      </c>
      <c r="G29" s="3">
        <v>106.64631</v>
      </c>
      <c r="H29" s="3"/>
      <c r="I29" s="3"/>
      <c r="J29" s="3"/>
      <c r="K29" s="3"/>
      <c r="L29" s="3" t="s">
        <v>31</v>
      </c>
      <c r="M29" s="3" t="s">
        <v>31</v>
      </c>
      <c r="N29" s="5">
        <v>3600000</v>
      </c>
      <c r="O29" s="4" t="s">
        <v>55</v>
      </c>
      <c r="P29" s="4" t="s">
        <v>145</v>
      </c>
      <c r="Q29" s="4" t="s">
        <v>146</v>
      </c>
      <c r="R29" s="6" t="e">
        <f ca="1">TINHKHOANGCACH(Ho_So_Hoc_Sinh!$B$3, C29)</f>
        <v>#NAME?</v>
      </c>
      <c r="S29" s="7">
        <f t="shared" si="0"/>
        <v>7</v>
      </c>
      <c r="T29" s="7">
        <f t="shared" si="1"/>
        <v>10</v>
      </c>
      <c r="U29" s="7">
        <f>Ho_So_Hoc_Sinh!$B$8</f>
        <v>10</v>
      </c>
      <c r="V29" s="7">
        <f>IF(ISBLANK(H29), 7.5, IF(Ho_So_Hoc_Sinh!$B$4&gt;=H29+1, 10, IF(Ho_So_Hoc_Sinh!$B$4&lt;H29-1, 0, 10 - 5*(H29+1-Ho_So_Hoc_Sinh!$B$4))))</f>
        <v>7.5</v>
      </c>
      <c r="W29" s="7">
        <f t="shared" si="2"/>
        <v>5</v>
      </c>
      <c r="X29" s="7" t="e">
        <f t="shared" ca="1" si="3"/>
        <v>#NAME?</v>
      </c>
      <c r="Y29" s="7">
        <f>IF(Ho_So_Hoc_Sinh!$B$5=0, 10, IF(M29="Có", 10, 0))</f>
        <v>10</v>
      </c>
      <c r="Z29" s="8" t="e">
        <f t="shared" ca="1" si="4"/>
        <v>#NAME?</v>
      </c>
      <c r="AA29" s="9" t="e">
        <f t="shared" ca="1" si="5"/>
        <v>#NAME?</v>
      </c>
    </row>
    <row r="30" spans="1:27" ht="20.100000000000001" customHeight="1" x14ac:dyDescent="0.25">
      <c r="A30" s="3">
        <v>28</v>
      </c>
      <c r="B30" s="4" t="s">
        <v>147</v>
      </c>
      <c r="C30" s="4" t="s">
        <v>148</v>
      </c>
      <c r="D30" s="4" t="s">
        <v>30</v>
      </c>
      <c r="E30" s="3" t="s">
        <v>31</v>
      </c>
      <c r="F30" s="3">
        <v>10.780029000000001</v>
      </c>
      <c r="G30" s="3">
        <v>106.655225</v>
      </c>
      <c r="H30" s="3">
        <v>18.75</v>
      </c>
      <c r="I30" s="3">
        <v>17.329999999999998</v>
      </c>
      <c r="J30" s="3">
        <v>720</v>
      </c>
      <c r="K30" s="3">
        <v>1.22</v>
      </c>
      <c r="L30" s="3" t="s">
        <v>31</v>
      </c>
      <c r="M30" s="3" t="s">
        <v>31</v>
      </c>
      <c r="N30" s="5">
        <v>200000</v>
      </c>
      <c r="O30" s="4" t="s">
        <v>149</v>
      </c>
      <c r="P30" s="4" t="s">
        <v>37</v>
      </c>
      <c r="Q30" s="4" t="s">
        <v>150</v>
      </c>
      <c r="R30" s="6" t="e">
        <f ca="1">TINHKHOANGCACH(Ho_So_Hoc_Sinh!$B$3, C30)</f>
        <v>#NAME?</v>
      </c>
      <c r="S30" s="7">
        <f t="shared" si="0"/>
        <v>5.49</v>
      </c>
      <c r="T30" s="7">
        <f t="shared" si="1"/>
        <v>10</v>
      </c>
      <c r="U30" s="7">
        <f>Ho_So_Hoc_Sinh!$B$8</f>
        <v>10</v>
      </c>
      <c r="V30" s="7">
        <f>IF(ISBLANK(H30), 7.5, IF(Ho_So_Hoc_Sinh!$B$4&gt;=H30+1, 10, IF(Ho_So_Hoc_Sinh!$B$4&lt;H30-1, 0, 10 - 5*(H30+1-Ho_So_Hoc_Sinh!$B$4))))</f>
        <v>10</v>
      </c>
      <c r="W30" s="7">
        <f t="shared" si="2"/>
        <v>10</v>
      </c>
      <c r="X30" s="7" t="e">
        <f t="shared" ca="1" si="3"/>
        <v>#NAME?</v>
      </c>
      <c r="Y30" s="7">
        <f>IF(Ho_So_Hoc_Sinh!$B$5=0, 10, IF(M30="Có", 10, 0))</f>
        <v>10</v>
      </c>
      <c r="Z30" s="8" t="e">
        <f t="shared" ca="1" si="4"/>
        <v>#NAME?</v>
      </c>
      <c r="AA30" s="9" t="e">
        <f t="shared" ca="1" si="5"/>
        <v>#NAME?</v>
      </c>
    </row>
    <row r="31" spans="1:27" ht="20.100000000000001" customHeight="1" x14ac:dyDescent="0.25">
      <c r="A31" s="3">
        <v>29</v>
      </c>
      <c r="B31" s="4" t="s">
        <v>151</v>
      </c>
      <c r="C31" s="4" t="s">
        <v>152</v>
      </c>
      <c r="D31" s="4" t="s">
        <v>30</v>
      </c>
      <c r="E31" s="3" t="s">
        <v>31</v>
      </c>
      <c r="F31" s="3">
        <v>10.769159</v>
      </c>
      <c r="G31" s="3">
        <v>106.687836</v>
      </c>
      <c r="H31" s="3">
        <v>24.25</v>
      </c>
      <c r="I31" s="3">
        <v>22.92</v>
      </c>
      <c r="J31" s="3">
        <v>700</v>
      </c>
      <c r="K31" s="3">
        <v>2.84</v>
      </c>
      <c r="L31" s="3" t="s">
        <v>31</v>
      </c>
      <c r="M31" s="3" t="s">
        <v>31</v>
      </c>
      <c r="N31" s="5">
        <v>200000</v>
      </c>
      <c r="O31" s="4" t="s">
        <v>153</v>
      </c>
      <c r="P31" s="4" t="s">
        <v>154</v>
      </c>
      <c r="Q31" s="4" t="s">
        <v>155</v>
      </c>
      <c r="R31" s="6" t="e">
        <f ca="1">TINHKHOANGCACH(Ho_So_Hoc_Sinh!$B$3, C31)</f>
        <v>#NAME?</v>
      </c>
      <c r="S31" s="7">
        <f t="shared" si="0"/>
        <v>10</v>
      </c>
      <c r="T31" s="7">
        <f t="shared" si="1"/>
        <v>10</v>
      </c>
      <c r="U31" s="7">
        <f>Ho_So_Hoc_Sinh!$B$8</f>
        <v>10</v>
      </c>
      <c r="V31" s="7">
        <f>IF(ISBLANK(H31), 7.5, IF(Ho_So_Hoc_Sinh!$B$4&gt;=H31+1, 10, IF(Ho_So_Hoc_Sinh!$B$4&lt;H31-1, 0, 10 - 5*(H31+1-Ho_So_Hoc_Sinh!$B$4))))</f>
        <v>0</v>
      </c>
      <c r="W31" s="7">
        <f t="shared" si="2"/>
        <v>10</v>
      </c>
      <c r="X31" s="7" t="e">
        <f t="shared" ca="1" si="3"/>
        <v>#NAME?</v>
      </c>
      <c r="Y31" s="7">
        <f>IF(Ho_So_Hoc_Sinh!$B$5=0, 10, IF(M31="Có", 10, 0))</f>
        <v>10</v>
      </c>
      <c r="Z31" s="8" t="e">
        <f t="shared" ca="1" si="4"/>
        <v>#NAME?</v>
      </c>
      <c r="AA31" s="9" t="e">
        <f t="shared" ca="1" si="5"/>
        <v>#NAME?</v>
      </c>
    </row>
    <row r="32" spans="1:27" ht="20.100000000000001" customHeight="1" x14ac:dyDescent="0.25">
      <c r="A32" s="3">
        <v>30</v>
      </c>
      <c r="B32" s="4" t="s">
        <v>156</v>
      </c>
      <c r="C32" s="4" t="s">
        <v>157</v>
      </c>
      <c r="D32" s="4" t="s">
        <v>30</v>
      </c>
      <c r="E32" s="3" t="s">
        <v>31</v>
      </c>
      <c r="F32" s="3">
        <v>10.768905999999999</v>
      </c>
      <c r="G32" s="3">
        <v>106.695566</v>
      </c>
      <c r="H32" s="3">
        <v>20.5</v>
      </c>
      <c r="I32" s="3">
        <v>18.920000000000002</v>
      </c>
      <c r="J32" s="3">
        <v>585</v>
      </c>
      <c r="K32" s="3">
        <v>1.34</v>
      </c>
      <c r="L32" s="3" t="s">
        <v>31</v>
      </c>
      <c r="M32" s="3" t="s">
        <v>31</v>
      </c>
      <c r="N32" s="5">
        <v>200000</v>
      </c>
      <c r="O32" s="4" t="s">
        <v>158</v>
      </c>
      <c r="P32" s="4" t="s">
        <v>37</v>
      </c>
      <c r="Q32" s="4" t="s">
        <v>159</v>
      </c>
      <c r="R32" s="6" t="e">
        <f ca="1">TINHKHOANGCACH(Ho_So_Hoc_Sinh!$B$3, C32)</f>
        <v>#NAME?</v>
      </c>
      <c r="S32" s="7">
        <f t="shared" si="0"/>
        <v>6.03</v>
      </c>
      <c r="T32" s="7">
        <f t="shared" si="1"/>
        <v>10</v>
      </c>
      <c r="U32" s="7">
        <f>Ho_So_Hoc_Sinh!$B$8</f>
        <v>10</v>
      </c>
      <c r="V32" s="7">
        <f>IF(ISBLANK(H32), 7.5, IF(Ho_So_Hoc_Sinh!$B$4&gt;=H32+1, 10, IF(Ho_So_Hoc_Sinh!$B$4&lt;H32-1, 0, 10 - 5*(H32+1-Ho_So_Hoc_Sinh!$B$4))))</f>
        <v>7.5</v>
      </c>
      <c r="W32" s="7">
        <f t="shared" si="2"/>
        <v>10</v>
      </c>
      <c r="X32" s="7" t="e">
        <f t="shared" ca="1" si="3"/>
        <v>#NAME?</v>
      </c>
      <c r="Y32" s="7">
        <f>IF(Ho_So_Hoc_Sinh!$B$5=0, 10, IF(M32="Có", 10, 0))</f>
        <v>10</v>
      </c>
      <c r="Z32" s="8" t="e">
        <f t="shared" ca="1" si="4"/>
        <v>#NAME?</v>
      </c>
      <c r="AA32" s="9" t="e">
        <f t="shared" ca="1" si="5"/>
        <v>#NAME?</v>
      </c>
    </row>
    <row r="33" spans="1:27" ht="20.100000000000001" customHeight="1" x14ac:dyDescent="0.25">
      <c r="A33" s="3">
        <v>31</v>
      </c>
      <c r="B33" s="4" t="s">
        <v>160</v>
      </c>
      <c r="C33" s="4" t="s">
        <v>161</v>
      </c>
      <c r="D33" s="4" t="s">
        <v>30</v>
      </c>
      <c r="E33" s="3" t="s">
        <v>31</v>
      </c>
      <c r="F33" s="3">
        <v>10.763085999999999</v>
      </c>
      <c r="G33" s="3">
        <v>106.6939</v>
      </c>
      <c r="H33" s="3">
        <v>22.75</v>
      </c>
      <c r="I33" s="3">
        <v>21.33</v>
      </c>
      <c r="J33" s="3">
        <v>330</v>
      </c>
      <c r="K33" s="3">
        <v>2.2400000000000002</v>
      </c>
      <c r="L33" s="3" t="s">
        <v>31</v>
      </c>
      <c r="M33" s="3" t="s">
        <v>31</v>
      </c>
      <c r="N33" s="5">
        <v>200000</v>
      </c>
      <c r="O33" s="4" t="s">
        <v>162</v>
      </c>
      <c r="P33" s="4" t="s">
        <v>37</v>
      </c>
      <c r="Q33" s="4" t="s">
        <v>163</v>
      </c>
      <c r="R33" s="6" t="e">
        <f ca="1">TINHKHOANGCACH(Ho_So_Hoc_Sinh!$B$3, C33)</f>
        <v>#NAME?</v>
      </c>
      <c r="S33" s="7">
        <f t="shared" si="0"/>
        <v>10</v>
      </c>
      <c r="T33" s="7">
        <f t="shared" si="1"/>
        <v>10</v>
      </c>
      <c r="U33" s="7">
        <f>Ho_So_Hoc_Sinh!$B$8</f>
        <v>10</v>
      </c>
      <c r="V33" s="7">
        <f>IF(ISBLANK(H33), 7.5, IF(Ho_So_Hoc_Sinh!$B$4&gt;=H33+1, 10, IF(Ho_So_Hoc_Sinh!$B$4&lt;H33-1, 0, 10 - 5*(H33+1-Ho_So_Hoc_Sinh!$B$4))))</f>
        <v>0</v>
      </c>
      <c r="W33" s="7">
        <f t="shared" si="2"/>
        <v>10</v>
      </c>
      <c r="X33" s="7" t="e">
        <f t="shared" ca="1" si="3"/>
        <v>#NAME?</v>
      </c>
      <c r="Y33" s="7">
        <f>IF(Ho_So_Hoc_Sinh!$B$5=0, 10, IF(M33="Có", 10, 0))</f>
        <v>10</v>
      </c>
      <c r="Z33" s="8" t="e">
        <f t="shared" ca="1" si="4"/>
        <v>#NAME?</v>
      </c>
      <c r="AA33" s="9" t="e">
        <f t="shared" ca="1" si="5"/>
        <v>#NAME?</v>
      </c>
    </row>
    <row r="34" spans="1:27" ht="20.100000000000001" customHeight="1" x14ac:dyDescent="0.25">
      <c r="A34" s="3">
        <v>32</v>
      </c>
      <c r="B34" s="4" t="s">
        <v>164</v>
      </c>
      <c r="C34" s="4" t="s">
        <v>165</v>
      </c>
      <c r="D34" s="4" t="s">
        <v>30</v>
      </c>
      <c r="E34" s="3" t="s">
        <v>31</v>
      </c>
      <c r="F34" s="3">
        <v>10.785427</v>
      </c>
      <c r="G34" s="3">
        <v>106.706686</v>
      </c>
      <c r="H34" s="3">
        <v>21.75</v>
      </c>
      <c r="I34" s="3">
        <v>21</v>
      </c>
      <c r="J34" s="3">
        <v>900</v>
      </c>
      <c r="K34" s="3">
        <v>1.32</v>
      </c>
      <c r="L34" s="3" t="s">
        <v>31</v>
      </c>
      <c r="M34" s="3" t="s">
        <v>31</v>
      </c>
      <c r="N34" s="5">
        <v>200000</v>
      </c>
      <c r="O34" s="4" t="s">
        <v>166</v>
      </c>
      <c r="P34" s="4" t="s">
        <v>167</v>
      </c>
      <c r="Q34" s="4" t="s">
        <v>168</v>
      </c>
      <c r="R34" s="6" t="e">
        <f ca="1">TINHKHOANGCACH(Ho_So_Hoc_Sinh!$B$3, C34)</f>
        <v>#NAME?</v>
      </c>
      <c r="S34" s="7">
        <f t="shared" si="0"/>
        <v>5.94</v>
      </c>
      <c r="T34" s="7">
        <f t="shared" si="1"/>
        <v>10</v>
      </c>
      <c r="U34" s="7">
        <f>Ho_So_Hoc_Sinh!$B$8</f>
        <v>10</v>
      </c>
      <c r="V34" s="7">
        <f>IF(ISBLANK(H34), 7.5, IF(Ho_So_Hoc_Sinh!$B$4&gt;=H34+1, 10, IF(Ho_So_Hoc_Sinh!$B$4&lt;H34-1, 0, 10 - 5*(H34+1-Ho_So_Hoc_Sinh!$B$4))))</f>
        <v>1.25</v>
      </c>
      <c r="W34" s="7">
        <f t="shared" si="2"/>
        <v>10</v>
      </c>
      <c r="X34" s="7" t="e">
        <f t="shared" ca="1" si="3"/>
        <v>#NAME?</v>
      </c>
      <c r="Y34" s="7">
        <f>IF(Ho_So_Hoc_Sinh!$B$5=0, 10, IF(M34="Có", 10, 0))</f>
        <v>10</v>
      </c>
      <c r="Z34" s="8" t="e">
        <f t="shared" ca="1" si="4"/>
        <v>#NAME?</v>
      </c>
      <c r="AA34" s="9" t="e">
        <f t="shared" ca="1" si="5"/>
        <v>#NAME?</v>
      </c>
    </row>
    <row r="35" spans="1:27" ht="20.100000000000001" customHeight="1" x14ac:dyDescent="0.25">
      <c r="A35" s="3">
        <v>33</v>
      </c>
      <c r="B35" s="4" t="s">
        <v>169</v>
      </c>
      <c r="C35" s="4" t="s">
        <v>170</v>
      </c>
      <c r="D35" s="4" t="s">
        <v>30</v>
      </c>
      <c r="E35" s="3" t="s">
        <v>31</v>
      </c>
      <c r="F35" s="3">
        <v>10.809684000000001</v>
      </c>
      <c r="G35" s="3">
        <v>106.67586300000001</v>
      </c>
      <c r="H35" s="3">
        <v>24</v>
      </c>
      <c r="I35" s="3">
        <v>23</v>
      </c>
      <c r="J35" s="3">
        <v>925</v>
      </c>
      <c r="K35" s="3">
        <v>2.2200000000000002</v>
      </c>
      <c r="L35" s="3" t="s">
        <v>31</v>
      </c>
      <c r="M35" s="3" t="s">
        <v>31</v>
      </c>
      <c r="N35" s="5">
        <v>200000</v>
      </c>
      <c r="O35" s="4" t="s">
        <v>171</v>
      </c>
      <c r="P35" s="4" t="s">
        <v>37</v>
      </c>
      <c r="Q35" s="4" t="s">
        <v>172</v>
      </c>
      <c r="R35" s="6" t="e">
        <f ca="1">TINHKHOANGCACH(Ho_So_Hoc_Sinh!$B$3, C35)</f>
        <v>#NAME?</v>
      </c>
      <c r="S35" s="7">
        <f t="shared" si="0"/>
        <v>9.99</v>
      </c>
      <c r="T35" s="7">
        <f t="shared" si="1"/>
        <v>10</v>
      </c>
      <c r="U35" s="7">
        <f>Ho_So_Hoc_Sinh!$B$8</f>
        <v>10</v>
      </c>
      <c r="V35" s="7">
        <f>IF(ISBLANK(H35), 7.5, IF(Ho_So_Hoc_Sinh!$B$4&gt;=H35+1, 10, IF(Ho_So_Hoc_Sinh!$B$4&lt;H35-1, 0, 10 - 5*(H35+1-Ho_So_Hoc_Sinh!$B$4))))</f>
        <v>0</v>
      </c>
      <c r="W35" s="7">
        <f t="shared" si="2"/>
        <v>10</v>
      </c>
      <c r="X35" s="7" t="e">
        <f t="shared" ca="1" si="3"/>
        <v>#NAME?</v>
      </c>
      <c r="Y35" s="7">
        <f>IF(Ho_So_Hoc_Sinh!$B$5=0, 10, IF(M35="Có", 10, 0))</f>
        <v>10</v>
      </c>
      <c r="Z35" s="8" t="e">
        <f t="shared" ca="1" si="4"/>
        <v>#NAME?</v>
      </c>
      <c r="AA35" s="9" t="e">
        <f t="shared" ca="1" si="5"/>
        <v>#NAME?</v>
      </c>
    </row>
    <row r="36" spans="1:27" ht="20.100000000000001" customHeight="1" x14ac:dyDescent="0.25">
      <c r="A36" s="3">
        <v>34</v>
      </c>
      <c r="B36" s="4" t="s">
        <v>173</v>
      </c>
      <c r="C36" s="4" t="s">
        <v>174</v>
      </c>
      <c r="D36" s="4" t="s">
        <v>30</v>
      </c>
      <c r="E36" s="3" t="s">
        <v>31</v>
      </c>
      <c r="F36" s="3">
        <v>10.786951</v>
      </c>
      <c r="G36" s="3">
        <v>106.625653</v>
      </c>
      <c r="H36" s="3">
        <v>24.25</v>
      </c>
      <c r="I36" s="3">
        <v>23.42</v>
      </c>
      <c r="J36" s="3">
        <v>945</v>
      </c>
      <c r="K36" s="3">
        <v>2.12</v>
      </c>
      <c r="L36" s="3" t="s">
        <v>31</v>
      </c>
      <c r="M36" s="3" t="s">
        <v>31</v>
      </c>
      <c r="N36" s="5">
        <v>200000</v>
      </c>
      <c r="O36" s="4" t="s">
        <v>175</v>
      </c>
      <c r="P36" s="4" t="s">
        <v>37</v>
      </c>
      <c r="Q36" s="4" t="s">
        <v>176</v>
      </c>
      <c r="R36" s="6" t="e">
        <f ca="1">TINHKHOANGCACH(Ho_So_Hoc_Sinh!$B$3, C36)</f>
        <v>#NAME?</v>
      </c>
      <c r="S36" s="7">
        <f t="shared" si="0"/>
        <v>9.5400000000000009</v>
      </c>
      <c r="T36" s="7">
        <f t="shared" si="1"/>
        <v>10</v>
      </c>
      <c r="U36" s="7">
        <f>Ho_So_Hoc_Sinh!$B$8</f>
        <v>10</v>
      </c>
      <c r="V36" s="7">
        <f>IF(ISBLANK(H36), 7.5, IF(Ho_So_Hoc_Sinh!$B$4&gt;=H36+1, 10, IF(Ho_So_Hoc_Sinh!$B$4&lt;H36-1, 0, 10 - 5*(H36+1-Ho_So_Hoc_Sinh!$B$4))))</f>
        <v>0</v>
      </c>
      <c r="W36" s="7">
        <f t="shared" si="2"/>
        <v>10</v>
      </c>
      <c r="X36" s="7" t="e">
        <f t="shared" ca="1" si="3"/>
        <v>#NAME?</v>
      </c>
      <c r="Y36" s="7">
        <f>IF(Ho_So_Hoc_Sinh!$B$5=0, 10, IF(M36="Có", 10, 0))</f>
        <v>10</v>
      </c>
      <c r="Z36" s="8" t="e">
        <f t="shared" ca="1" si="4"/>
        <v>#NAME?</v>
      </c>
      <c r="AA36" s="9" t="e">
        <f t="shared" ca="1" si="5"/>
        <v>#NAME?</v>
      </c>
    </row>
    <row r="37" spans="1:27" ht="20.100000000000001" customHeight="1" x14ac:dyDescent="0.25">
      <c r="A37" s="3">
        <v>35</v>
      </c>
      <c r="B37" s="4" t="s">
        <v>177</v>
      </c>
      <c r="C37" s="4" t="s">
        <v>178</v>
      </c>
      <c r="D37" s="4" t="s">
        <v>30</v>
      </c>
      <c r="E37" s="3" t="s">
        <v>31</v>
      </c>
      <c r="F37" s="3">
        <v>10.814332</v>
      </c>
      <c r="G37" s="3">
        <v>106.62184499999999</v>
      </c>
      <c r="H37" s="3">
        <v>23.25</v>
      </c>
      <c r="I37" s="3">
        <v>22</v>
      </c>
      <c r="J37" s="3">
        <v>1035</v>
      </c>
      <c r="K37" s="3">
        <v>2.0699999999999998</v>
      </c>
      <c r="L37" s="3" t="s">
        <v>31</v>
      </c>
      <c r="M37" s="3" t="s">
        <v>31</v>
      </c>
      <c r="N37" s="5">
        <v>200000</v>
      </c>
      <c r="O37" s="4" t="s">
        <v>179</v>
      </c>
      <c r="P37" s="4" t="s">
        <v>180</v>
      </c>
      <c r="Q37" s="4" t="s">
        <v>181</v>
      </c>
      <c r="R37" s="6" t="e">
        <f ca="1">TINHKHOANGCACH(Ho_So_Hoc_Sinh!$B$3, C37)</f>
        <v>#NAME?</v>
      </c>
      <c r="S37" s="7">
        <f t="shared" si="0"/>
        <v>9.3149999999999995</v>
      </c>
      <c r="T37" s="7">
        <f t="shared" si="1"/>
        <v>10</v>
      </c>
      <c r="U37" s="7">
        <f>Ho_So_Hoc_Sinh!$B$8</f>
        <v>10</v>
      </c>
      <c r="V37" s="7">
        <f>IF(ISBLANK(H37), 7.5, IF(Ho_So_Hoc_Sinh!$B$4&gt;=H37+1, 10, IF(Ho_So_Hoc_Sinh!$B$4&lt;H37-1, 0, 10 - 5*(H37+1-Ho_So_Hoc_Sinh!$B$4))))</f>
        <v>0</v>
      </c>
      <c r="W37" s="7">
        <f t="shared" si="2"/>
        <v>10</v>
      </c>
      <c r="X37" s="7" t="e">
        <f t="shared" ca="1" si="3"/>
        <v>#NAME?</v>
      </c>
      <c r="Y37" s="7">
        <f>IF(Ho_So_Hoc_Sinh!$B$5=0, 10, IF(M37="Có", 10, 0))</f>
        <v>10</v>
      </c>
      <c r="Z37" s="8" t="e">
        <f t="shared" ca="1" si="4"/>
        <v>#NAME?</v>
      </c>
      <c r="AA37" s="9" t="e">
        <f t="shared" ca="1" si="5"/>
        <v>#NAME?</v>
      </c>
    </row>
    <row r="38" spans="1:27" ht="20.100000000000001" customHeight="1" x14ac:dyDescent="0.25">
      <c r="A38" s="3">
        <v>36</v>
      </c>
      <c r="B38" s="4" t="s">
        <v>182</v>
      </c>
      <c r="C38" s="4" t="s">
        <v>183</v>
      </c>
      <c r="D38" s="4" t="s">
        <v>30</v>
      </c>
      <c r="E38" s="3" t="s">
        <v>31</v>
      </c>
      <c r="F38" s="3">
        <v>10.804053</v>
      </c>
      <c r="G38" s="3">
        <v>106.718299</v>
      </c>
      <c r="H38" s="3">
        <v>23.5</v>
      </c>
      <c r="I38" s="3">
        <v>21.75</v>
      </c>
      <c r="J38" s="3">
        <v>960</v>
      </c>
      <c r="K38" s="3">
        <v>2.08</v>
      </c>
      <c r="L38" s="3" t="s">
        <v>31</v>
      </c>
      <c r="M38" s="3" t="s">
        <v>31</v>
      </c>
      <c r="N38" s="5">
        <v>200000</v>
      </c>
      <c r="O38" s="4" t="s">
        <v>184</v>
      </c>
      <c r="P38" s="4" t="s">
        <v>185</v>
      </c>
      <c r="Q38" s="4" t="s">
        <v>186</v>
      </c>
      <c r="R38" s="6" t="e">
        <f ca="1">TINHKHOANGCACH(Ho_So_Hoc_Sinh!$B$3, C38)</f>
        <v>#NAME?</v>
      </c>
      <c r="S38" s="7">
        <f t="shared" si="0"/>
        <v>9.36</v>
      </c>
      <c r="T38" s="7">
        <f t="shared" si="1"/>
        <v>10</v>
      </c>
      <c r="U38" s="7">
        <f>Ho_So_Hoc_Sinh!$B$8</f>
        <v>10</v>
      </c>
      <c r="V38" s="7">
        <f>IF(ISBLANK(H38), 7.5, IF(Ho_So_Hoc_Sinh!$B$4&gt;=H38+1, 10, IF(Ho_So_Hoc_Sinh!$B$4&lt;H38-1, 0, 10 - 5*(H38+1-Ho_So_Hoc_Sinh!$B$4))))</f>
        <v>0</v>
      </c>
      <c r="W38" s="7">
        <f t="shared" si="2"/>
        <v>10</v>
      </c>
      <c r="X38" s="7" t="e">
        <f t="shared" ca="1" si="3"/>
        <v>#NAME?</v>
      </c>
      <c r="Y38" s="7">
        <f>IF(Ho_So_Hoc_Sinh!$B$5=0, 10, IF(M38="Có", 10, 0))</f>
        <v>10</v>
      </c>
      <c r="Z38" s="8" t="e">
        <f t="shared" ca="1" si="4"/>
        <v>#NAME?</v>
      </c>
      <c r="AA38" s="9" t="e">
        <f t="shared" ca="1" si="5"/>
        <v>#NAME?</v>
      </c>
    </row>
    <row r="39" spans="1:27" ht="20.100000000000001" customHeight="1" x14ac:dyDescent="0.25">
      <c r="A39" s="3">
        <v>37</v>
      </c>
      <c r="B39" s="4" t="s">
        <v>187</v>
      </c>
      <c r="C39" s="4" t="s">
        <v>188</v>
      </c>
      <c r="D39" s="4" t="s">
        <v>30</v>
      </c>
      <c r="E39" s="3" t="s">
        <v>31</v>
      </c>
      <c r="F39" s="3">
        <v>10.798147999999999</v>
      </c>
      <c r="G39" s="3">
        <v>106.696095</v>
      </c>
      <c r="H39" s="3">
        <v>21</v>
      </c>
      <c r="I39" s="3">
        <v>19.420000000000002</v>
      </c>
      <c r="J39" s="3">
        <v>855</v>
      </c>
      <c r="K39" s="3">
        <v>1.4</v>
      </c>
      <c r="L39" s="3" t="s">
        <v>31</v>
      </c>
      <c r="M39" s="3" t="s">
        <v>31</v>
      </c>
      <c r="N39" s="5">
        <v>200000</v>
      </c>
      <c r="O39" s="4" t="s">
        <v>189</v>
      </c>
      <c r="P39" s="4" t="s">
        <v>37</v>
      </c>
      <c r="Q39" s="4" t="s">
        <v>190</v>
      </c>
      <c r="R39" s="6" t="e">
        <f ca="1">TINHKHOANGCACH(Ho_So_Hoc_Sinh!$B$3, C39)</f>
        <v>#NAME?</v>
      </c>
      <c r="S39" s="7">
        <f t="shared" si="0"/>
        <v>6.3</v>
      </c>
      <c r="T39" s="7">
        <f t="shared" si="1"/>
        <v>10</v>
      </c>
      <c r="U39" s="7">
        <f>Ho_So_Hoc_Sinh!$B$8</f>
        <v>10</v>
      </c>
      <c r="V39" s="7">
        <f>IF(ISBLANK(H39), 7.5, IF(Ho_So_Hoc_Sinh!$B$4&gt;=H39+1, 10, IF(Ho_So_Hoc_Sinh!$B$4&lt;H39-1, 0, 10 - 5*(H39+1-Ho_So_Hoc_Sinh!$B$4))))</f>
        <v>5</v>
      </c>
      <c r="W39" s="7">
        <f t="shared" si="2"/>
        <v>10</v>
      </c>
      <c r="X39" s="7" t="e">
        <f t="shared" ca="1" si="3"/>
        <v>#NAME?</v>
      </c>
      <c r="Y39" s="7">
        <f>IF(Ho_So_Hoc_Sinh!$B$5=0, 10, IF(M39="Có", 10, 0))</f>
        <v>10</v>
      </c>
      <c r="Z39" s="8" t="e">
        <f t="shared" ca="1" si="4"/>
        <v>#NAME?</v>
      </c>
      <c r="AA39" s="9" t="e">
        <f t="shared" ca="1" si="5"/>
        <v>#NAME?</v>
      </c>
    </row>
    <row r="40" spans="1:27" ht="20.100000000000001" customHeight="1" x14ac:dyDescent="0.25">
      <c r="A40" s="3">
        <v>38</v>
      </c>
      <c r="B40" s="4" t="s">
        <v>191</v>
      </c>
      <c r="C40" s="4" t="s">
        <v>192</v>
      </c>
      <c r="D40" s="4" t="s">
        <v>30</v>
      </c>
      <c r="E40" s="3" t="s">
        <v>31</v>
      </c>
      <c r="F40" s="3">
        <v>10.805514000000001</v>
      </c>
      <c r="G40" s="3">
        <v>106.68701799999999</v>
      </c>
      <c r="H40" s="3">
        <v>17.5</v>
      </c>
      <c r="I40" s="3">
        <v>15.67</v>
      </c>
      <c r="J40" s="3">
        <v>810</v>
      </c>
      <c r="K40" s="3">
        <v>0.77</v>
      </c>
      <c r="L40" s="3" t="s">
        <v>31</v>
      </c>
      <c r="M40" s="3" t="s">
        <v>31</v>
      </c>
      <c r="N40" s="5">
        <v>200000</v>
      </c>
      <c r="O40" s="4" t="s">
        <v>141</v>
      </c>
      <c r="P40" s="4" t="s">
        <v>37</v>
      </c>
      <c r="Q40" s="4" t="s">
        <v>193</v>
      </c>
      <c r="R40" s="6" t="e">
        <f ca="1">TINHKHOANGCACH(Ho_So_Hoc_Sinh!$B$3, C40)</f>
        <v>#NAME?</v>
      </c>
      <c r="S40" s="7">
        <f t="shared" si="0"/>
        <v>3.4649999999999999</v>
      </c>
      <c r="T40" s="7">
        <f t="shared" si="1"/>
        <v>10</v>
      </c>
      <c r="U40" s="7">
        <f>Ho_So_Hoc_Sinh!$B$8</f>
        <v>10</v>
      </c>
      <c r="V40" s="7">
        <f>IF(ISBLANK(H40), 7.5, IF(Ho_So_Hoc_Sinh!$B$4&gt;=H40+1, 10, IF(Ho_So_Hoc_Sinh!$B$4&lt;H40-1, 0, 10 - 5*(H40+1-Ho_So_Hoc_Sinh!$B$4))))</f>
        <v>10</v>
      </c>
      <c r="W40" s="7">
        <f t="shared" si="2"/>
        <v>10</v>
      </c>
      <c r="X40" s="7" t="e">
        <f t="shared" ca="1" si="3"/>
        <v>#NAME?</v>
      </c>
      <c r="Y40" s="7">
        <f>IF(Ho_So_Hoc_Sinh!$B$5=0, 10, IF(M40="Có", 10, 0))</f>
        <v>10</v>
      </c>
      <c r="Z40" s="8" t="e">
        <f t="shared" ca="1" si="4"/>
        <v>#NAME?</v>
      </c>
      <c r="AA40" s="9" t="e">
        <f t="shared" ca="1" si="5"/>
        <v>#NAME?</v>
      </c>
    </row>
    <row r="41" spans="1:27" ht="20.100000000000001" customHeight="1" x14ac:dyDescent="0.25">
      <c r="A41" s="3">
        <v>39</v>
      </c>
      <c r="B41" s="4" t="s">
        <v>194</v>
      </c>
      <c r="C41" s="4" t="s">
        <v>195</v>
      </c>
      <c r="D41" s="4" t="s">
        <v>30</v>
      </c>
      <c r="E41" s="3" t="s">
        <v>31</v>
      </c>
      <c r="F41" s="3">
        <v>10.831151</v>
      </c>
      <c r="G41" s="3">
        <v>106.698633</v>
      </c>
      <c r="H41" s="3">
        <v>18</v>
      </c>
      <c r="I41" s="3">
        <v>16.670000000000002</v>
      </c>
      <c r="J41" s="3">
        <v>900</v>
      </c>
      <c r="K41" s="3">
        <v>0.95</v>
      </c>
      <c r="L41" s="3" t="s">
        <v>31</v>
      </c>
      <c r="M41" s="3" t="s">
        <v>31</v>
      </c>
      <c r="N41" s="5">
        <v>200000</v>
      </c>
      <c r="O41" s="4" t="s">
        <v>196</v>
      </c>
      <c r="P41" s="4" t="s">
        <v>37</v>
      </c>
      <c r="Q41" s="4" t="s">
        <v>197</v>
      </c>
      <c r="R41" s="6" t="e">
        <f ca="1">TINHKHOANGCACH(Ho_So_Hoc_Sinh!$B$3, C41)</f>
        <v>#NAME?</v>
      </c>
      <c r="S41" s="7">
        <f t="shared" si="0"/>
        <v>4.2749999999999995</v>
      </c>
      <c r="T41" s="7">
        <f t="shared" si="1"/>
        <v>10</v>
      </c>
      <c r="U41" s="7">
        <f>Ho_So_Hoc_Sinh!$B$8</f>
        <v>10</v>
      </c>
      <c r="V41" s="7">
        <f>IF(ISBLANK(H41), 7.5, IF(Ho_So_Hoc_Sinh!$B$4&gt;=H41+1, 10, IF(Ho_So_Hoc_Sinh!$B$4&lt;H41-1, 0, 10 - 5*(H41+1-Ho_So_Hoc_Sinh!$B$4))))</f>
        <v>10</v>
      </c>
      <c r="W41" s="7">
        <f t="shared" si="2"/>
        <v>10</v>
      </c>
      <c r="X41" s="7" t="e">
        <f t="shared" ca="1" si="3"/>
        <v>#NAME?</v>
      </c>
      <c r="Y41" s="7">
        <f>IF(Ho_So_Hoc_Sinh!$B$5=0, 10, IF(M41="Có", 10, 0))</f>
        <v>10</v>
      </c>
      <c r="Z41" s="8" t="e">
        <f t="shared" ca="1" si="4"/>
        <v>#NAME?</v>
      </c>
      <c r="AA41" s="9" t="e">
        <f t="shared" ca="1" si="5"/>
        <v>#NAME?</v>
      </c>
    </row>
    <row r="42" spans="1:27" ht="20.100000000000001" customHeight="1" x14ac:dyDescent="0.25">
      <c r="A42" s="3">
        <v>40</v>
      </c>
      <c r="B42" s="4" t="s">
        <v>198</v>
      </c>
      <c r="C42" s="4" t="s">
        <v>199</v>
      </c>
      <c r="D42" s="4" t="s">
        <v>30</v>
      </c>
      <c r="E42" s="3" t="s">
        <v>31</v>
      </c>
      <c r="F42" s="3">
        <v>10.816072999999999</v>
      </c>
      <c r="G42" s="3">
        <v>106.68082200000001</v>
      </c>
      <c r="H42" s="3">
        <v>18</v>
      </c>
      <c r="I42" s="3">
        <v>16.75</v>
      </c>
      <c r="J42" s="3">
        <v>675</v>
      </c>
      <c r="K42" s="3">
        <v>1.18</v>
      </c>
      <c r="L42" s="3" t="s">
        <v>31</v>
      </c>
      <c r="M42" s="3" t="s">
        <v>31</v>
      </c>
      <c r="N42" s="5">
        <v>200000</v>
      </c>
      <c r="O42" s="4" t="s">
        <v>200</v>
      </c>
      <c r="P42" s="4" t="s">
        <v>37</v>
      </c>
      <c r="Q42" s="4" t="s">
        <v>201</v>
      </c>
      <c r="R42" s="6" t="e">
        <f ca="1">TINHKHOANGCACH(Ho_So_Hoc_Sinh!$B$3, C42)</f>
        <v>#NAME?</v>
      </c>
      <c r="S42" s="7">
        <f t="shared" si="0"/>
        <v>5.31</v>
      </c>
      <c r="T42" s="7">
        <f t="shared" si="1"/>
        <v>10</v>
      </c>
      <c r="U42" s="7">
        <f>Ho_So_Hoc_Sinh!$B$8</f>
        <v>10</v>
      </c>
      <c r="V42" s="7">
        <f>IF(ISBLANK(H42), 7.5, IF(Ho_So_Hoc_Sinh!$B$4&gt;=H42+1, 10, IF(Ho_So_Hoc_Sinh!$B$4&lt;H42-1, 0, 10 - 5*(H42+1-Ho_So_Hoc_Sinh!$B$4))))</f>
        <v>10</v>
      </c>
      <c r="W42" s="7">
        <f t="shared" si="2"/>
        <v>10</v>
      </c>
      <c r="X42" s="7" t="e">
        <f t="shared" ca="1" si="3"/>
        <v>#NAME?</v>
      </c>
      <c r="Y42" s="7">
        <f>IF(Ho_So_Hoc_Sinh!$B$5=0, 10, IF(M42="Có", 10, 0))</f>
        <v>10</v>
      </c>
      <c r="Z42" s="8" t="e">
        <f t="shared" ca="1" si="4"/>
        <v>#NAME?</v>
      </c>
      <c r="AA42" s="9" t="e">
        <f t="shared" ca="1" si="5"/>
        <v>#NAME?</v>
      </c>
    </row>
    <row r="43" spans="1:27" ht="20.100000000000001" customHeight="1" x14ac:dyDescent="0.25">
      <c r="A43" s="3">
        <v>41</v>
      </c>
      <c r="B43" s="4" t="s">
        <v>202</v>
      </c>
      <c r="C43" s="4" t="s">
        <v>203</v>
      </c>
      <c r="D43" s="4" t="s">
        <v>30</v>
      </c>
      <c r="E43" s="3" t="s">
        <v>31</v>
      </c>
      <c r="F43" s="3">
        <v>10.838924</v>
      </c>
      <c r="G43" s="3">
        <v>106.652953</v>
      </c>
      <c r="H43" s="3">
        <v>22</v>
      </c>
      <c r="I43" s="3">
        <v>20.75</v>
      </c>
      <c r="J43" s="3">
        <v>855</v>
      </c>
      <c r="K43" s="3">
        <v>1.83</v>
      </c>
      <c r="L43" s="3" t="s">
        <v>31</v>
      </c>
      <c r="M43" s="3" t="s">
        <v>31</v>
      </c>
      <c r="N43" s="5">
        <v>200000</v>
      </c>
      <c r="O43" s="4" t="s">
        <v>204</v>
      </c>
      <c r="P43" s="4" t="s">
        <v>37</v>
      </c>
      <c r="Q43" s="4" t="s">
        <v>205</v>
      </c>
      <c r="R43" s="6" t="e">
        <f ca="1">TINHKHOANGCACH(Ho_So_Hoc_Sinh!$B$3, C43)</f>
        <v>#NAME?</v>
      </c>
      <c r="S43" s="7">
        <f t="shared" si="0"/>
        <v>8.2349999999999994</v>
      </c>
      <c r="T43" s="7">
        <f t="shared" si="1"/>
        <v>10</v>
      </c>
      <c r="U43" s="7">
        <f>Ho_So_Hoc_Sinh!$B$8</f>
        <v>10</v>
      </c>
      <c r="V43" s="7">
        <f>IF(ISBLANK(H43), 7.5, IF(Ho_So_Hoc_Sinh!$B$4&gt;=H43+1, 10, IF(Ho_So_Hoc_Sinh!$B$4&lt;H43-1, 0, 10 - 5*(H43+1-Ho_So_Hoc_Sinh!$B$4))))</f>
        <v>0</v>
      </c>
      <c r="W43" s="7">
        <f t="shared" si="2"/>
        <v>10</v>
      </c>
      <c r="X43" s="7" t="e">
        <f t="shared" ca="1" si="3"/>
        <v>#NAME?</v>
      </c>
      <c r="Y43" s="7">
        <f>IF(Ho_So_Hoc_Sinh!$B$5=0, 10, IF(M43="Có", 10, 0))</f>
        <v>10</v>
      </c>
      <c r="Z43" s="8" t="e">
        <f t="shared" ca="1" si="4"/>
        <v>#NAME?</v>
      </c>
      <c r="AA43" s="9" t="e">
        <f t="shared" ca="1" si="5"/>
        <v>#NAME?</v>
      </c>
    </row>
    <row r="44" spans="1:27" ht="20.100000000000001" customHeight="1" x14ac:dyDescent="0.25">
      <c r="A44" s="3">
        <v>42</v>
      </c>
      <c r="B44" s="4" t="s">
        <v>206</v>
      </c>
      <c r="C44" s="4" t="s">
        <v>207</v>
      </c>
      <c r="D44" s="4" t="s">
        <v>30</v>
      </c>
      <c r="E44" s="3" t="s">
        <v>31</v>
      </c>
      <c r="F44" s="3">
        <v>10.846284000000001</v>
      </c>
      <c r="G44" s="3">
        <v>106.682553</v>
      </c>
      <c r="H44" s="3">
        <v>22.25</v>
      </c>
      <c r="I44" s="3">
        <v>20.75</v>
      </c>
      <c r="J44" s="3">
        <v>990</v>
      </c>
      <c r="K44" s="3">
        <v>1.72</v>
      </c>
      <c r="L44" s="3" t="s">
        <v>31</v>
      </c>
      <c r="M44" s="3" t="s">
        <v>31</v>
      </c>
      <c r="N44" s="5">
        <v>200000</v>
      </c>
      <c r="O44" s="4" t="s">
        <v>208</v>
      </c>
      <c r="P44" s="4" t="s">
        <v>37</v>
      </c>
      <c r="Q44" s="4" t="s">
        <v>209</v>
      </c>
      <c r="R44" s="6" t="e">
        <f ca="1">TINHKHOANGCACH(Ho_So_Hoc_Sinh!$B$3, C44)</f>
        <v>#NAME?</v>
      </c>
      <c r="S44" s="7">
        <f t="shared" si="0"/>
        <v>7.74</v>
      </c>
      <c r="T44" s="7">
        <f t="shared" si="1"/>
        <v>10</v>
      </c>
      <c r="U44" s="7">
        <f>Ho_So_Hoc_Sinh!$B$8</f>
        <v>10</v>
      </c>
      <c r="V44" s="7">
        <f>IF(ISBLANK(H44), 7.5, IF(Ho_So_Hoc_Sinh!$B$4&gt;=H44+1, 10, IF(Ho_So_Hoc_Sinh!$B$4&lt;H44-1, 0, 10 - 5*(H44+1-Ho_So_Hoc_Sinh!$B$4))))</f>
        <v>0</v>
      </c>
      <c r="W44" s="7">
        <f t="shared" si="2"/>
        <v>10</v>
      </c>
      <c r="X44" s="7" t="e">
        <f t="shared" ca="1" si="3"/>
        <v>#NAME?</v>
      </c>
      <c r="Y44" s="7">
        <f>IF(Ho_So_Hoc_Sinh!$B$5=0, 10, IF(M44="Có", 10, 0))</f>
        <v>10</v>
      </c>
      <c r="Z44" s="8" t="e">
        <f t="shared" ca="1" si="4"/>
        <v>#NAME?</v>
      </c>
      <c r="AA44" s="9" t="e">
        <f t="shared" ca="1" si="5"/>
        <v>#NAME?</v>
      </c>
    </row>
    <row r="45" spans="1:27" ht="20.100000000000001" customHeight="1" x14ac:dyDescent="0.25">
      <c r="A45" s="3">
        <v>43</v>
      </c>
      <c r="B45" s="4" t="s">
        <v>210</v>
      </c>
      <c r="C45" s="4" t="s">
        <v>211</v>
      </c>
      <c r="D45" s="4" t="s">
        <v>30</v>
      </c>
      <c r="E45" s="3" t="s">
        <v>31</v>
      </c>
      <c r="F45" s="3">
        <v>10.847557</v>
      </c>
      <c r="G45" s="3">
        <v>106.66903499999999</v>
      </c>
      <c r="H45" s="3">
        <v>19.75</v>
      </c>
      <c r="I45" s="3">
        <v>18.079999999999998</v>
      </c>
      <c r="J45" s="3">
        <v>900</v>
      </c>
      <c r="K45" s="3">
        <v>1.54</v>
      </c>
      <c r="L45" s="3" t="s">
        <v>31</v>
      </c>
      <c r="M45" s="3" t="s">
        <v>31</v>
      </c>
      <c r="N45" s="5">
        <v>200000</v>
      </c>
      <c r="O45" s="4" t="s">
        <v>212</v>
      </c>
      <c r="P45" s="4" t="s">
        <v>37</v>
      </c>
      <c r="Q45" s="4" t="s">
        <v>213</v>
      </c>
      <c r="R45" s="6" t="e">
        <f ca="1">TINHKHOANGCACH(Ho_So_Hoc_Sinh!$B$3, C45)</f>
        <v>#NAME?</v>
      </c>
      <c r="S45" s="7">
        <f t="shared" si="0"/>
        <v>6.93</v>
      </c>
      <c r="T45" s="7">
        <f t="shared" si="1"/>
        <v>10</v>
      </c>
      <c r="U45" s="7">
        <f>Ho_So_Hoc_Sinh!$B$8</f>
        <v>10</v>
      </c>
      <c r="V45" s="7">
        <f>IF(ISBLANK(H45), 7.5, IF(Ho_So_Hoc_Sinh!$B$4&gt;=H45+1, 10, IF(Ho_So_Hoc_Sinh!$B$4&lt;H45-1, 0, 10 - 5*(H45+1-Ho_So_Hoc_Sinh!$B$4))))</f>
        <v>10</v>
      </c>
      <c r="W45" s="7">
        <f t="shared" si="2"/>
        <v>10</v>
      </c>
      <c r="X45" s="7" t="e">
        <f t="shared" ca="1" si="3"/>
        <v>#NAME?</v>
      </c>
      <c r="Y45" s="7">
        <f>IF(Ho_So_Hoc_Sinh!$B$5=0, 10, IF(M45="Có", 10, 0))</f>
        <v>10</v>
      </c>
      <c r="Z45" s="8" t="e">
        <f t="shared" ca="1" si="4"/>
        <v>#NAME?</v>
      </c>
      <c r="AA45" s="9" t="e">
        <f t="shared" ca="1" si="5"/>
        <v>#NAME?</v>
      </c>
    </row>
    <row r="46" spans="1:27" ht="20.100000000000001" customHeight="1" x14ac:dyDescent="0.25">
      <c r="A46" s="3">
        <v>44</v>
      </c>
      <c r="B46" s="4" t="s">
        <v>214</v>
      </c>
      <c r="C46" s="4" t="s">
        <v>215</v>
      </c>
      <c r="D46" s="4" t="s">
        <v>30</v>
      </c>
      <c r="E46" s="3" t="s">
        <v>31</v>
      </c>
      <c r="F46" s="3">
        <v>10.754676</v>
      </c>
      <c r="G46" s="3">
        <v>106.635081</v>
      </c>
      <c r="H46" s="3">
        <v>24.25</v>
      </c>
      <c r="I46" s="3">
        <v>23</v>
      </c>
      <c r="J46" s="3">
        <v>1060</v>
      </c>
      <c r="K46" s="3">
        <v>2.35</v>
      </c>
      <c r="L46" s="3" t="s">
        <v>31</v>
      </c>
      <c r="M46" s="3" t="s">
        <v>31</v>
      </c>
      <c r="N46" s="5">
        <v>200000</v>
      </c>
      <c r="O46" s="4" t="s">
        <v>216</v>
      </c>
      <c r="P46" s="4" t="s">
        <v>217</v>
      </c>
      <c r="Q46" s="4" t="s">
        <v>218</v>
      </c>
      <c r="R46" s="6" t="e">
        <f ca="1">TINHKHOANGCACH(Ho_So_Hoc_Sinh!$B$3, C46)</f>
        <v>#NAME?</v>
      </c>
      <c r="S46" s="7">
        <f t="shared" si="0"/>
        <v>10</v>
      </c>
      <c r="T46" s="7">
        <f t="shared" si="1"/>
        <v>10</v>
      </c>
      <c r="U46" s="7">
        <f>Ho_So_Hoc_Sinh!$B$8</f>
        <v>10</v>
      </c>
      <c r="V46" s="7">
        <f>IF(ISBLANK(H46), 7.5, IF(Ho_So_Hoc_Sinh!$B$4&gt;=H46+1, 10, IF(Ho_So_Hoc_Sinh!$B$4&lt;H46-1, 0, 10 - 5*(H46+1-Ho_So_Hoc_Sinh!$B$4))))</f>
        <v>0</v>
      </c>
      <c r="W46" s="7">
        <f t="shared" si="2"/>
        <v>10</v>
      </c>
      <c r="X46" s="7" t="e">
        <f t="shared" ca="1" si="3"/>
        <v>#NAME?</v>
      </c>
      <c r="Y46" s="7">
        <f>IF(Ho_So_Hoc_Sinh!$B$5=0, 10, IF(M46="Có", 10, 0))</f>
        <v>10</v>
      </c>
      <c r="Z46" s="8" t="e">
        <f t="shared" ca="1" si="4"/>
        <v>#NAME?</v>
      </c>
      <c r="AA46" s="9" t="e">
        <f t="shared" ca="1" si="5"/>
        <v>#NAME?</v>
      </c>
    </row>
    <row r="47" spans="1:27" ht="20.100000000000001" customHeight="1" x14ac:dyDescent="0.25">
      <c r="A47" s="3">
        <v>45</v>
      </c>
      <c r="B47" s="4" t="s">
        <v>219</v>
      </c>
      <c r="C47" s="4" t="s">
        <v>220</v>
      </c>
      <c r="D47" s="4" t="s">
        <v>30</v>
      </c>
      <c r="E47" s="3" t="s">
        <v>31</v>
      </c>
      <c r="F47" s="3">
        <v>10.735566</v>
      </c>
      <c r="G47" s="3">
        <v>106.62753600000001</v>
      </c>
      <c r="H47" s="3">
        <v>22.5</v>
      </c>
      <c r="I47" s="3">
        <v>20.75</v>
      </c>
      <c r="J47" s="3">
        <v>810</v>
      </c>
      <c r="K47" s="3">
        <v>1.36</v>
      </c>
      <c r="L47" s="3" t="s">
        <v>31</v>
      </c>
      <c r="M47" s="3" t="s">
        <v>31</v>
      </c>
      <c r="N47" s="5">
        <v>200000</v>
      </c>
      <c r="O47" s="4" t="s">
        <v>221</v>
      </c>
      <c r="P47" s="4" t="s">
        <v>37</v>
      </c>
      <c r="Q47" s="4" t="s">
        <v>222</v>
      </c>
      <c r="R47" s="6" t="e">
        <f ca="1">TINHKHOANGCACH(Ho_So_Hoc_Sinh!$B$3, C47)</f>
        <v>#NAME?</v>
      </c>
      <c r="S47" s="7">
        <f t="shared" si="0"/>
        <v>6.12</v>
      </c>
      <c r="T47" s="7">
        <f t="shared" si="1"/>
        <v>10</v>
      </c>
      <c r="U47" s="7">
        <f>Ho_So_Hoc_Sinh!$B$8</f>
        <v>10</v>
      </c>
      <c r="V47" s="7">
        <f>IF(ISBLANK(H47), 7.5, IF(Ho_So_Hoc_Sinh!$B$4&gt;=H47+1, 10, IF(Ho_So_Hoc_Sinh!$B$4&lt;H47-1, 0, 10 - 5*(H47+1-Ho_So_Hoc_Sinh!$B$4))))</f>
        <v>0</v>
      </c>
      <c r="W47" s="7">
        <f t="shared" si="2"/>
        <v>10</v>
      </c>
      <c r="X47" s="7" t="e">
        <f t="shared" ca="1" si="3"/>
        <v>#NAME?</v>
      </c>
      <c r="Y47" s="7">
        <f>IF(Ho_So_Hoc_Sinh!$B$5=0, 10, IF(M47="Có", 10, 0))</f>
        <v>10</v>
      </c>
      <c r="Z47" s="8" t="e">
        <f t="shared" ca="1" si="4"/>
        <v>#NAME?</v>
      </c>
      <c r="AA47" s="9" t="e">
        <f t="shared" ca="1" si="5"/>
        <v>#NAME?</v>
      </c>
    </row>
    <row r="48" spans="1:27" ht="20.100000000000001" customHeight="1" x14ac:dyDescent="0.25">
      <c r="A48" s="3">
        <v>46</v>
      </c>
      <c r="B48" s="4" t="s">
        <v>223</v>
      </c>
      <c r="C48" s="4" t="s">
        <v>224</v>
      </c>
      <c r="D48" s="4" t="s">
        <v>30</v>
      </c>
      <c r="E48" s="3" t="s">
        <v>31</v>
      </c>
      <c r="F48" s="3">
        <v>10.74011</v>
      </c>
      <c r="G48" s="3">
        <v>106.669596</v>
      </c>
      <c r="H48" s="3">
        <v>15.75</v>
      </c>
      <c r="I48" s="3">
        <v>13.83</v>
      </c>
      <c r="J48" s="3">
        <v>675</v>
      </c>
      <c r="K48" s="3">
        <v>1.24</v>
      </c>
      <c r="L48" s="3" t="s">
        <v>31</v>
      </c>
      <c r="M48" s="3" t="s">
        <v>31</v>
      </c>
      <c r="N48" s="5">
        <v>200000</v>
      </c>
      <c r="O48" s="4" t="s">
        <v>225</v>
      </c>
      <c r="P48" s="4" t="s">
        <v>37</v>
      </c>
      <c r="Q48" s="4" t="s">
        <v>226</v>
      </c>
      <c r="R48" s="6" t="e">
        <f ca="1">TINHKHOANGCACH(Ho_So_Hoc_Sinh!$B$3, C48)</f>
        <v>#NAME?</v>
      </c>
      <c r="S48" s="7">
        <f t="shared" si="0"/>
        <v>5.58</v>
      </c>
      <c r="T48" s="7">
        <f t="shared" si="1"/>
        <v>10</v>
      </c>
      <c r="U48" s="7">
        <f>Ho_So_Hoc_Sinh!$B$8</f>
        <v>10</v>
      </c>
      <c r="V48" s="7">
        <f>IF(ISBLANK(H48), 7.5, IF(Ho_So_Hoc_Sinh!$B$4&gt;=H48+1, 10, IF(Ho_So_Hoc_Sinh!$B$4&lt;H48-1, 0, 10 - 5*(H48+1-Ho_So_Hoc_Sinh!$B$4))))</f>
        <v>10</v>
      </c>
      <c r="W48" s="7">
        <f t="shared" si="2"/>
        <v>10</v>
      </c>
      <c r="X48" s="7" t="e">
        <f t="shared" ca="1" si="3"/>
        <v>#NAME?</v>
      </c>
      <c r="Y48" s="7">
        <f>IF(Ho_So_Hoc_Sinh!$B$5=0, 10, IF(M48="Có", 10, 0))</f>
        <v>10</v>
      </c>
      <c r="Z48" s="8" t="e">
        <f t="shared" ca="1" si="4"/>
        <v>#NAME?</v>
      </c>
      <c r="AA48" s="9" t="e">
        <f t="shared" ca="1" si="5"/>
        <v>#NAME?</v>
      </c>
    </row>
  </sheetData>
  <mergeCells count="1">
    <mergeCell ref="A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/>
  </sheetViews>
  <sheetFormatPr defaultRowHeight="15" x14ac:dyDescent="0.25"/>
  <cols>
    <col min="1" max="1" width="38" customWidth="1"/>
    <col min="2" max="2" width="42" customWidth="1"/>
    <col min="3" max="3" width="30" customWidth="1"/>
    <col min="4" max="5" width="25" customWidth="1"/>
  </cols>
  <sheetData>
    <row r="1" spans="1:5" ht="27.95" customHeight="1" x14ac:dyDescent="0.25">
      <c r="A1" s="24" t="s">
        <v>227</v>
      </c>
      <c r="B1" s="21"/>
      <c r="C1" s="21"/>
      <c r="D1" s="21"/>
      <c r="E1" s="21"/>
    </row>
    <row r="2" spans="1:5" x14ac:dyDescent="0.25">
      <c r="A2" s="22" t="s">
        <v>228</v>
      </c>
      <c r="B2" s="21"/>
      <c r="C2" s="21"/>
      <c r="D2" s="21"/>
      <c r="E2" s="21"/>
    </row>
    <row r="3" spans="1:5" x14ac:dyDescent="0.25">
      <c r="A3" s="10" t="s">
        <v>229</v>
      </c>
      <c r="B3" s="11" t="s">
        <v>230</v>
      </c>
      <c r="C3" s="12" t="s">
        <v>231</v>
      </c>
    </row>
    <row r="4" spans="1:5" x14ac:dyDescent="0.25">
      <c r="A4" s="10" t="s">
        <v>232</v>
      </c>
      <c r="B4" s="13">
        <v>21</v>
      </c>
      <c r="C4" s="12" t="s">
        <v>233</v>
      </c>
    </row>
    <row r="5" spans="1:5" x14ac:dyDescent="0.25">
      <c r="A5" s="10" t="s">
        <v>234</v>
      </c>
      <c r="B5" s="14">
        <v>1</v>
      </c>
      <c r="C5" s="12" t="s">
        <v>235</v>
      </c>
    </row>
    <row r="6" spans="1:5" x14ac:dyDescent="0.25">
      <c r="A6" s="10" t="s">
        <v>236</v>
      </c>
      <c r="B6" s="11" t="s">
        <v>30</v>
      </c>
      <c r="C6" s="12" t="s">
        <v>237</v>
      </c>
    </row>
    <row r="7" spans="1:5" x14ac:dyDescent="0.25">
      <c r="A7" s="10" t="s">
        <v>238</v>
      </c>
      <c r="B7" s="11" t="s">
        <v>239</v>
      </c>
      <c r="C7" s="12" t="s">
        <v>240</v>
      </c>
    </row>
    <row r="8" spans="1:5" x14ac:dyDescent="0.25">
      <c r="A8" s="10" t="s">
        <v>241</v>
      </c>
      <c r="B8" s="13">
        <v>10</v>
      </c>
      <c r="C8" s="12" t="s">
        <v>242</v>
      </c>
    </row>
    <row r="10" spans="1:5" x14ac:dyDescent="0.25">
      <c r="A10" s="22" t="s">
        <v>243</v>
      </c>
      <c r="B10" s="21"/>
      <c r="C10" s="21"/>
      <c r="D10" s="21"/>
      <c r="E10" s="21"/>
    </row>
    <row r="11" spans="1:5" x14ac:dyDescent="0.25">
      <c r="A11" s="15" t="s">
        <v>244</v>
      </c>
      <c r="B11" s="15" t="s">
        <v>245</v>
      </c>
      <c r="C11" s="15" t="s">
        <v>246</v>
      </c>
      <c r="D11" s="15" t="s">
        <v>247</v>
      </c>
      <c r="E11" s="15" t="s">
        <v>248</v>
      </c>
    </row>
    <row r="12" spans="1:5" x14ac:dyDescent="0.25">
      <c r="A12" s="9" t="s">
        <v>249</v>
      </c>
      <c r="B12" s="10" t="e">
        <f ca="1">INDEX(CSDL_Truong!$B$3:$B$48, MATCH("Top 1", CSDL_Truong!$AA$3:$AA$48, 0))</f>
        <v>#N/A</v>
      </c>
      <c r="C12" s="16" t="e">
        <f ca="1">INDEX(CSDL_Truong!$H$3:$H$48, MATCH("Top 1", CSDL_Truong!$AA$3:$AA$48, 0))</f>
        <v>#N/A</v>
      </c>
      <c r="D12" s="16" t="e">
        <f ca="1">INDEX(CSDL_Truong!$R$3:$R$48, MATCH("Top 1", CSDL_Truong!$AA$3:$AA$48, 0))</f>
        <v>#N/A</v>
      </c>
      <c r="E12" s="8" t="e">
        <f ca="1">INDEX(CSDL_Truong!$Z$3:$Z$48, MATCH("Top 1", CSDL_Truong!$AA$3:$AA$48, 0))</f>
        <v>#N/A</v>
      </c>
    </row>
    <row r="13" spans="1:5" x14ac:dyDescent="0.25">
      <c r="A13" s="9" t="s">
        <v>250</v>
      </c>
      <c r="B13" s="10" t="e">
        <f ca="1">INDEX(CSDL_Truong!$B$3:$B$48, MATCH("Top 2", CSDL_Truong!$AA$3:$AA$48, 0))</f>
        <v>#N/A</v>
      </c>
      <c r="C13" s="16" t="e">
        <f ca="1">INDEX(CSDL_Truong!$H$3:$H$48, MATCH("Top 2", CSDL_Truong!$AA$3:$AA$48, 0))</f>
        <v>#N/A</v>
      </c>
      <c r="D13" s="16" t="e">
        <f ca="1">INDEX(CSDL_Truong!$R$3:$R$48, MATCH("Top 2", CSDL_Truong!$AA$3:$AA$48, 0))</f>
        <v>#N/A</v>
      </c>
      <c r="E13" s="8" t="e">
        <f ca="1">INDEX(CSDL_Truong!$Z$3:$Z$48, MATCH("Top 2", CSDL_Truong!$AA$3:$AA$48, 0))</f>
        <v>#N/A</v>
      </c>
    </row>
    <row r="14" spans="1:5" x14ac:dyDescent="0.25">
      <c r="A14" s="9" t="s">
        <v>251</v>
      </c>
      <c r="B14" s="10" t="e">
        <f ca="1">INDEX(CSDL_Truong!$B$3:$B$48, MATCH("Top 3", CSDL_Truong!$AA$3:$AA$48, 0))</f>
        <v>#N/A</v>
      </c>
      <c r="C14" s="16" t="e">
        <f ca="1">INDEX(CSDL_Truong!$H$3:$H$48, MATCH("Top 3", CSDL_Truong!$AA$3:$AA$48, 0))</f>
        <v>#N/A</v>
      </c>
      <c r="D14" s="16" t="e">
        <f ca="1">INDEX(CSDL_Truong!$R$3:$R$48, MATCH("Top 3", CSDL_Truong!$AA$3:$AA$48, 0))</f>
        <v>#N/A</v>
      </c>
      <c r="E14" s="8" t="e">
        <f ca="1">INDEX(CSDL_Truong!$Z$3:$Z$48, MATCH("Top 3", CSDL_Truong!$AA$3:$AA$48, 0))</f>
        <v>#N/A</v>
      </c>
    </row>
    <row r="16" spans="1:5" x14ac:dyDescent="0.25">
      <c r="A16" s="22" t="s">
        <v>252</v>
      </c>
      <c r="B16" s="21"/>
      <c r="C16" s="21"/>
      <c r="D16" s="21"/>
      <c r="E16" s="21"/>
    </row>
    <row r="17" spans="1:5" x14ac:dyDescent="0.25">
      <c r="A17" s="15" t="s">
        <v>1</v>
      </c>
      <c r="B17" s="15" t="s">
        <v>253</v>
      </c>
      <c r="C17" s="15" t="s">
        <v>254</v>
      </c>
      <c r="D17" s="15" t="s">
        <v>255</v>
      </c>
      <c r="E17" s="15" t="s">
        <v>256</v>
      </c>
    </row>
    <row r="18" spans="1:5" x14ac:dyDescent="0.25">
      <c r="A18" s="17">
        <v>1</v>
      </c>
      <c r="B18" s="10" t="s">
        <v>257</v>
      </c>
      <c r="C18" s="18">
        <v>3.968</v>
      </c>
      <c r="D18" s="18">
        <v>0.154</v>
      </c>
      <c r="E18" s="19" t="s">
        <v>258</v>
      </c>
    </row>
    <row r="19" spans="1:5" x14ac:dyDescent="0.25">
      <c r="A19" s="17">
        <v>2</v>
      </c>
      <c r="B19" s="10" t="s">
        <v>259</v>
      </c>
      <c r="C19" s="18">
        <v>3.9049999999999998</v>
      </c>
      <c r="D19" s="18">
        <v>0.152</v>
      </c>
      <c r="E19" s="19" t="s">
        <v>260</v>
      </c>
    </row>
    <row r="20" spans="1:5" x14ac:dyDescent="0.25">
      <c r="A20" s="17">
        <v>3</v>
      </c>
      <c r="B20" s="10" t="s">
        <v>261</v>
      </c>
      <c r="C20" s="18">
        <v>3.7349999999999999</v>
      </c>
      <c r="D20" s="18">
        <v>0.14499999999999999</v>
      </c>
      <c r="E20" s="19" t="s">
        <v>262</v>
      </c>
    </row>
    <row r="21" spans="1:5" x14ac:dyDescent="0.25">
      <c r="A21" s="17">
        <v>4</v>
      </c>
      <c r="B21" s="10" t="s">
        <v>263</v>
      </c>
      <c r="C21" s="18">
        <v>3.7080000000000002</v>
      </c>
      <c r="D21" s="18">
        <v>0.14399999999999999</v>
      </c>
      <c r="E21" s="19" t="s">
        <v>264</v>
      </c>
    </row>
    <row r="22" spans="1:5" x14ac:dyDescent="0.25">
      <c r="A22" s="17">
        <v>5</v>
      </c>
      <c r="B22" s="10" t="s">
        <v>265</v>
      </c>
      <c r="C22" s="18">
        <v>3.597</v>
      </c>
      <c r="D22" s="18">
        <v>0.14000000000000001</v>
      </c>
      <c r="E22" s="19" t="s">
        <v>266</v>
      </c>
    </row>
    <row r="23" spans="1:5" x14ac:dyDescent="0.25">
      <c r="A23" s="17">
        <v>6</v>
      </c>
      <c r="B23" s="10" t="s">
        <v>267</v>
      </c>
      <c r="C23" s="18">
        <v>3.5489999999999999</v>
      </c>
      <c r="D23" s="18">
        <v>0.13800000000000001</v>
      </c>
      <c r="E23" s="19" t="s">
        <v>268</v>
      </c>
    </row>
    <row r="24" spans="1:5" x14ac:dyDescent="0.25">
      <c r="A24" s="17">
        <v>7</v>
      </c>
      <c r="B24" s="10" t="s">
        <v>269</v>
      </c>
      <c r="C24" s="18">
        <v>3.3079999999999998</v>
      </c>
      <c r="D24" s="18">
        <v>0.128</v>
      </c>
      <c r="E24" s="19" t="s">
        <v>270</v>
      </c>
    </row>
    <row r="25" spans="1:5" x14ac:dyDescent="0.25">
      <c r="A25" s="23" t="s">
        <v>271</v>
      </c>
      <c r="B25" s="21"/>
      <c r="C25" s="21"/>
      <c r="D25" s="21"/>
      <c r="E25" s="21"/>
    </row>
  </sheetData>
  <mergeCells count="5">
    <mergeCell ref="A2:E2"/>
    <mergeCell ref="A16:E16"/>
    <mergeCell ref="A10:E10"/>
    <mergeCell ref="A25:E2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CSDL_Truong</vt:lpstr>
      <vt:lpstr>Ho_So_Hoc_Sinh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2026-09-13T10:17:45Z</dcterms:created>
  <dcterms:modified xsi:type="dcterms:W3CDTF">2026-09-15T10:43:42Z</dcterms:modified>
</cp:coreProperties>
</file>